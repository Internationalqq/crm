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5693395a5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егории" sheetId="1" r:id="R32b53267526d4a82"/>
    <x:sheet xmlns:r="http://schemas.openxmlformats.org/officeDocument/2006/relationships" name="Что найти" sheetId="2" r:id="Rc7c1b86618694f0d"/>
    <x:sheet xmlns:r="http://schemas.openxmlformats.org/officeDocument/2006/relationships" name="Строки сметы" sheetId="3" r:id="R4ae99288d9ce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00"/>
    <x:numFmt numFmtId="201" formatCode="0"/>
  </x:numFmts>
  <x:fonts count="4">
    <x:font>
      <x:sz val="11"/>
      <x:name val="Carlito"/>
    </x:font>
    <x:font>
      <x:sz val="10"/>
      <x:color rgb="FF202B36"/>
      <x:name val="Arial"/>
    </x:font>
    <x:font>
      <x:b/>
      <x:sz val="16"/>
      <x:color rgb="FF243D5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D59"/>
      </x:patternFill>
    </x:fill>
    <x:fill>
      <x:patternFill patternType="solid">
        <x:fgColor rgb="FFEEF2F6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0"/>
    </x:xf>
    <x:xf numFmtId="201" fontId="1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color rgb="FF764B00"/>
      </x:font>
      <x:fill>
        <x:patternFill patternType="solid">
          <x:bgColor rgb="FFFFF0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27038f9804ada" /><Relationship Type="http://schemas.openxmlformats.org/officeDocument/2006/relationships/theme" Target="/xl/theme/theme1.xml" Id="R68b6fa5d41cf4ba2" /><Relationship Type="http://schemas.openxmlformats.org/officeDocument/2006/relationships/sharedStrings" Target="/xl/sharedStrings.xml" Id="R4734d3b16c6841ec" /><Relationship Type="http://schemas.openxmlformats.org/officeDocument/2006/relationships/worksheet" Target="/xl/worksheets/sheet1.xml" Id="R32b53267526d4a82" /><Relationship Type="http://schemas.openxmlformats.org/officeDocument/2006/relationships/worksheet" Target="/xl/worksheets/sheet2.xml" Id="Rc7c1b86618694f0d" /><Relationship Type="http://schemas.openxmlformats.org/officeDocument/2006/relationships/worksheet" Target="/xl/worksheets/sheet3.xml" Id="R4ae99288d9ce40c3" /></Relationships>
</file>

<file path=xl/tables/table1.xml><?xml version="1.0" encoding="utf-8"?>
<x:table xmlns:x="http://schemas.openxmlformats.org/spreadsheetml/2006/main" id="3" name="NeedCategories" displayName="NeedCategories" ref="A8:H26" headerRowCount="1" totalsRowCount="0" totalsRowShown="0">
  <x:autoFilter ref="A8:H26"/>
  <x:tableColumns count="8">
    <x:tableColumn id="1" name="Код"/>
    <x:tableColumn id="2" name="Что нужно найти"/>
    <x:tableColumn id="3" name="Строк сметы"/>
    <x:tableColumn id="4" name="Цена есть"/>
    <x:tableColumn id="5" name="Ещё найти"/>
    <x:tableColumn id="6" name="Потребностей без цены"/>
    <x:tableColumn id="7" name="Какие поставщики нужны"/>
    <x:tableColumn id="8" name="Что должно быть в предложении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earchNeeds" displayName="SearchNeeds" ref="A8:L160" headerRowCount="1" totalsRowCount="0" totalsRowShown="0">
  <x:autoFilter ref="A8:L160"/>
  <x:tableColumns count="12">
    <x:tableColumn id="1" name="ID"/>
    <x:tableColumn id="2" name="Категория"/>
    <x:tableColumn id="3" name="Товар или работа: точное название"/>
    <x:tableColumn id="4" name="Ед."/>
    <x:tableColumn id="5" name="Объём по смете"/>
    <x:tableColumn id="6" name="Строк сметы"/>
    <x:tableColumn id="7" name="Цена есть"/>
    <x:tableColumn id="8" name="Ещё найти"/>
    <x:tableColumn id="9" name="Статус"/>
    <x:tableColumn id="10" name="Что искать"/>
    <x:tableColumn id="11" name="Что уточнить"/>
    <x:tableColumn id="12" name="Где искать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" name="EstimateRows" displayName="EstimateRows" ref="A8:P267" headerRowCount="1" totalsRowCount="0" totalsRowShown="0">
  <x:autoFilter ref="A8:P267"/>
  <x:tableColumns count="16">
    <x:tableColumn id="1" name="ID"/>
    <x:tableColumn id="2" name="Категория"/>
    <x:tableColumn id="3" name="№ строки"/>
    <x:tableColumn id="4" name="Наименование из сметы"/>
    <x:tableColumn id="5" name="Ед. сметы"/>
    <x:tableColumn id="6" name="Кол-во сметы"/>
    <x:tableColumn id="7" name="Множитель"/>
    <x:tableColumn id="8" name="Физ. объём"/>
    <x:tableColumn id="9" name="Состояние цены"/>
    <x:tableColumn id="10" name="Искать, 1/0"/>
    <x:tableColumn id="11" name="Цена есть, 1/0"/>
    <x:tableColumn id="12" name="Нужна цена, 1/0"/>
    <x:tableColumn id="13" name="Вид строки"/>
    <x:tableColumn id="14" name="Файл сметы"/>
    <x:tableColumn id="15" name="Физ. ед."/>
    <x:tableColumn id="16" name="Раздел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cd7e9c403649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be98779b1248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9edbdb3bf54399" /></Relationships>
</file>

<file path=xl/worksheets/sheet1.xml><?xml version="1.0" encoding="utf-8"?>
<x:worksheet xmlns:x="http://schemas.openxmlformats.org/spreadsheetml/2006/main">
  <x:sheetPr>
    <x:tabColor rgb="FF243D59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8" hidden="0" customWidth="1"/>
    <x:col min="2" max="2" width="3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3" hidden="0" customWidth="1"/>
    <x:col min="8" max="8" width="5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Список поиска по «Волге»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Ярославская область. Состояние на 21 сентября 2026 года.</x:v>
      </x:c>
      <x:c r="B4" s="2"/>
      <x:c r="C4" s="2"/>
      <x:c r="D4" s="2"/>
      <x:c r="E4" s="2"/>
      <x:c r="F4" s="2"/>
      <x:c r="G4" s="2"/>
      <x:c r="H4" s="2"/>
    </x:row>
    <x:row r="5">
      <x:c r="A5" s="2" t="str">
        <x:v>259 строк: 213 требуют цены, 26 покрыты, 187 ещё нужно закрыть.</x:v>
      </x:c>
      <x:c r="B5" s="2"/>
      <x:c r="C5" s="2"/>
      <x:c r="D5" s="2"/>
      <x:c r="E5" s="2"/>
      <x:c r="F5" s="2"/>
      <x:c r="G5" s="2"/>
      <x:c r="H5" s="2"/>
    </x:row>
    <x:row r="6">
      <x:c r="A6" s="2" t="str">
        <x:v>Сначала потребность и характеристики, затем поставщик и его прайс.</x:v>
      </x:c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 ht="34" customHeight="1">
      <x:c r="A8" s="7" t="str">
        <x:v>Код</x:v>
      </x:c>
      <x:c r="B8" s="7" t="str">
        <x:v>Что нужно найти</x:v>
      </x:c>
      <x:c r="C8" s="7" t="str">
        <x:v>Строк сметы</x:v>
      </x:c>
      <x:c r="D8" s="7" t="str">
        <x:v>Цена есть</x:v>
      </x:c>
      <x:c r="E8" s="7" t="str">
        <x:v>Ещё найти</x:v>
      </x:c>
      <x:c r="F8" s="7" t="str">
        <x:v>Потребностей без цены</x:v>
      </x:c>
      <x:c r="G8" s="7" t="str">
        <x:v>Какие поставщики нужны</x:v>
      </x:c>
      <x:c r="H8" s="7" t="str">
        <x:v>Что должно быть в предложении</x:v>
      </x:c>
    </x:row>
    <x:row r="9" ht="39" customHeight="1">
      <x:c r="A9" s="8" t="str">
        <x:v>M01</x:v>
      </x:c>
      <x:c r="B9" s="8" t="str">
        <x:v>Сыпучие материалы и грунт</x:v>
      </x:c>
      <x:c r="C9" s="10" t="n">
        <x:f>SUMIFS('Что найти'!$F$9:$F$160,'Что найти'!$B$9:$B$160,$B9)</x:f>
        <x:v>15</x:v>
      </x:c>
      <x:c r="D9" s="10" t="n">
        <x:f>SUMIFS('Что найти'!$G$9:$G$160,'Что найти'!$B$9:$B$160,$B9)</x:f>
        <x:v>0</x:v>
      </x:c>
      <x:c r="E9" s="10" t="n">
        <x:f>SUMIFS('Что найти'!$H$9:$H$160,'Что найти'!$B$9:$B$160,$B9)</x:f>
        <x:v>15</x:v>
      </x:c>
      <x:c r="F9" s="10" t="n">
        <x:f>COUNTIFS('Что найти'!$B$9:$B$160,$B9,'Что найти'!$H$9:$H$160,"&gt;0")</x:f>
        <x:v>3</x:v>
      </x:c>
      <x:c r="G9" s="8" t="str">
        <x:v>Карьеры и местные базы нерудных материалов</x:v>
      </x:c>
      <x:c r="H9" s="8" t="str">
        <x:v>Класс и крупность песка; М1200 и фракция щебня; цена за м³, партия и доставка</x:v>
      </x:c>
    </x:row>
    <x:row r="10" ht="39" customHeight="1">
      <x:c r="A10" s="13" t="str">
        <x:v>M02</x:v>
      </x:c>
      <x:c r="B10" s="13" t="str">
        <x:v>Бетон и сухие смеси</x:v>
      </x:c>
      <x:c r="C10" s="14" t="n">
        <x:f>SUMIFS('Что найти'!$F$9:$F$160,'Что найти'!$B$9:$B$160,$B10)</x:f>
        <x:v>8</x:v>
      </x:c>
      <x:c r="D10" s="14" t="n">
        <x:f>SUMIFS('Что найти'!$G$9:$G$160,'Что найти'!$B$9:$B$160,$B10)</x:f>
        <x:v>0</x:v>
      </x:c>
      <x:c r="E10" s="14" t="n">
        <x:f>SUMIFS('Что найти'!$H$9:$H$160,'Что найти'!$B$9:$B$160,$B10)</x:f>
        <x:v>8</x:v>
      </x:c>
      <x:c r="F10" s="14" t="n">
        <x:f>COUNTIFS('Что найти'!$B$9:$B$160,$B10,'Что найти'!$H$9:$H$160,"&gt;0")</x:f>
        <x:v>4</x:v>
      </x:c>
      <x:c r="G10" s="13" t="str">
        <x:v>Местные РБУ, производители и продавцы сухих смесей</x:v>
      </x:c>
      <x:c r="H10" s="13" t="str">
        <x:v>Класс В, морозостойкость F, W и заполнитель; масса мешка; цена за м³ или т</x:v>
      </x:c>
    </x:row>
    <x:row r="11" ht="39" customHeight="1">
      <x:c r="A11" s="8" t="str">
        <x:v>M03</x:v>
      </x:c>
      <x:c r="B11" s="8" t="str">
        <x:v>Плитка и бордюры</x:v>
      </x:c>
      <x:c r="C11" s="10" t="n">
        <x:f>SUMIFS('Что найти'!$F$9:$F$160,'Что найти'!$B$9:$B$160,$B11)</x:f>
        <x:v>7</x:v>
      </x:c>
      <x:c r="D11" s="10" t="n">
        <x:f>SUMIFS('Что найти'!$G$9:$G$160,'Что найти'!$B$9:$B$160,$B11)</x:f>
        <x:v>0</x:v>
      </x:c>
      <x:c r="E11" s="10" t="n">
        <x:f>SUMIFS('Что найти'!$H$9:$H$160,'Что найти'!$B$9:$B$160,$B11)</x:f>
        <x:v>7</x:v>
      </x:c>
      <x:c r="F11" s="10" t="n">
        <x:f>COUNTIFS('Что найти'!$B$9:$B$160,$B11,'Что найти'!$H$9:$H$160,"&gt;0")</x:f>
        <x:v>6</x:v>
      </x:c>
      <x:c r="G11" s="8" t="str">
        <x:v>Производитель Готика и его дилеры, заводы ЖБИ</x:v>
      </x:c>
      <x:c r="H11" s="8" t="str">
        <x:v>Точная коллекция, цвет, поверхность, толщина и размер; единица и упаковка</x:v>
      </x:c>
    </x:row>
    <x:row r="12" ht="39" customHeight="1">
      <x:c r="A12" s="13" t="str">
        <x:v>M04</x:v>
      </x:c>
      <x:c r="B12" s="13" t="str">
        <x:v>Асфальт и дорожная разметка</x:v>
      </x:c>
      <x:c r="C12" s="14" t="n">
        <x:f>SUMIFS('Что найти'!$F$9:$F$160,'Что найти'!$B$9:$B$160,$B12)</x:f>
        <x:v>8</x:v>
      </x:c>
      <x:c r="D12" s="14" t="n">
        <x:f>SUMIFS('Что найти'!$G$9:$G$160,'Что найти'!$B$9:$B$160,$B12)</x:f>
        <x:v>3</x:v>
      </x:c>
      <x:c r="E12" s="14" t="n">
        <x:f>SUMIFS('Что найти'!$H$9:$H$160,'Что найти'!$B$9:$B$160,$B12)</x:f>
        <x:v>5</x:v>
      </x:c>
      <x:c r="F12" s="14" t="n">
        <x:f>COUNTIFS('Что найти'!$B$9:$B$160,$B12,'Что найти'!$H$9:$H$160,"&gt;0")</x:f>
        <x:v>3</x:v>
      </x:c>
      <x:c r="G12" s="13" t="str">
        <x:v>Асфальтобетонные заводы, поставщики дорожных материалов</x:v>
      </x:c>
      <x:c r="H12" s="13" t="str">
        <x:v>Марка и тип смеси, красный пигмент; основа и цвет краски; фракция стеклошариков</x:v>
      </x:c>
    </x:row>
    <x:row r="13" ht="39" customHeight="1">
      <x:c r="A13" s="8" t="str">
        <x:v>M05</x:v>
      </x:c>
      <x:c r="B13" s="8" t="str">
        <x:v>Геоматериалы и газонные семена</x:v>
      </x:c>
      <x:c r="C13" s="10" t="n">
        <x:f>SUMIFS('Что найти'!$F$9:$F$160,'Что найти'!$B$9:$B$160,$B13)</x:f>
        <x:v>6</x:v>
      </x:c>
      <x:c r="D13" s="10" t="n">
        <x:f>SUMIFS('Что найти'!$G$9:$G$160,'Что найти'!$B$9:$B$160,$B13)</x:f>
        <x:v>5</x:v>
      </x:c>
      <x:c r="E13" s="10" t="n">
        <x:f>SUMIFS('Что найти'!$H$9:$H$160,'Что найти'!$B$9:$B$160,$B13)</x:f>
        <x:v>1</x:v>
      </x:c>
      <x:c r="F13" s="10" t="n">
        <x:f>COUNTIFS('Что найти'!$B$9:$B$160,$B13,'Что найти'!$H$9:$H$160,"&gt;0")</x:f>
        <x:v>1</x:v>
      </x:c>
      <x:c r="G13" s="8" t="str">
        <x:v>Поставщики геосинтетики и семян</x:v>
      </x:c>
      <x:c r="H13" s="8" t="str">
        <x:v>Плотность и способ изготовления полотна; вид георешётки; состав травосмеси</x:v>
      </x:c>
    </x:row>
    <x:row r="14" ht="39" customHeight="1">
      <x:c r="A14" s="13" t="str">
        <x:v>M06</x:v>
      </x:c>
      <x:c r="B14" s="13" t="str">
        <x:v>Металлопрокат</x:v>
      </x:c>
      <x:c r="C14" s="14" t="n">
        <x:f>SUMIFS('Что найти'!$F$9:$F$160,'Что найти'!$B$9:$B$160,$B14)</x:f>
        <x:v>6</x:v>
      </x:c>
      <x:c r="D14" s="14" t="n">
        <x:f>SUMIFS('Что найти'!$G$9:$G$160,'Что найти'!$B$9:$B$160,$B14)</x:f>
        <x:v>0</x:v>
      </x:c>
      <x:c r="E14" s="14" t="n">
        <x:f>SUMIFS('Что найти'!$H$9:$H$160,'Что найти'!$B$9:$B$160,$B14)</x:f>
        <x:v>6</x:v>
      </x:c>
      <x:c r="F14" s="14" t="n">
        <x:f>COUNTIFS('Что найти'!$B$9:$B$160,$B14,'Что найти'!$H$9:$H$160,"&gt;0")</x:f>
        <x:v>4</x:v>
      </x:c>
      <x:c r="G14" s="13" t="str">
        <x:v>Металлобазы с отгрузкой в Ярославскую область</x:v>
      </x:c>
      <x:c r="H14" s="13" t="str">
        <x:v>Марка стали, профиль, диаметр/размер; фактическая длина отгрузки и цена за т</x:v>
      </x:c>
    </x:row>
    <x:row r="15" ht="39" customHeight="1">
      <x:c r="A15" s="8" t="str">
        <x:v>M07</x:v>
      </x:c>
      <x:c r="B15" s="8" t="str">
        <x:v>Кабели и трубы</x:v>
      </x:c>
      <x:c r="C15" s="10" t="n">
        <x:f>SUMIFS('Что найти'!$F$9:$F$160,'Что найти'!$B$9:$B$160,$B15)</x:f>
        <x:v>12</x:v>
      </x:c>
      <x:c r="D15" s="10" t="n">
        <x:f>SUMIFS('Что найти'!$G$9:$G$160,'Что найти'!$B$9:$B$160,$B15)</x:f>
        <x:v>5</x:v>
      </x:c>
      <x:c r="E15" s="10" t="n">
        <x:f>SUMIFS('Что найти'!$H$9:$H$160,'Что найти'!$B$9:$B$160,$B15)</x:f>
        <x:v>7</x:v>
      </x:c>
      <x:c r="F15" s="10" t="n">
        <x:f>COUNTIFS('Что найти'!$B$9:$B$160,$B15,'Что найти'!$H$9:$H$160,"&gt;0")</x:f>
        <x:v>7</x:v>
      </x:c>
      <x:c r="G15" s="8" t="str">
        <x:v>Кабельные заводы, электротехнические и трубные базы</x:v>
      </x:c>
      <x:c r="H15" s="8" t="str">
        <x:v>Марка, жилы, сечение, напряжение; диаметр/SDR; длина бухты и цена за метр</x:v>
      </x:c>
    </x:row>
    <x:row r="16" ht="39" customHeight="1">
      <x:c r="A16" s="13" t="str">
        <x:v>M08</x:v>
      </x:c>
      <x:c r="B16" s="13" t="str">
        <x:v>Щиты и электротехнические изделия</x:v>
      </x:c>
      <x:c r="C16" s="14" t="n">
        <x:f>SUMIFS('Что найти'!$F$9:$F$160,'Что найти'!$B$9:$B$160,$B16)</x:f>
        <x:v>20</x:v>
      </x:c>
      <x:c r="D16" s="14" t="n">
        <x:f>SUMIFS('Что найти'!$G$9:$G$160,'Что найти'!$B$9:$B$160,$B16)</x:f>
        <x:v>6</x:v>
      </x:c>
      <x:c r="E16" s="14" t="n">
        <x:f>SUMIFS('Что найти'!$H$9:$H$160,'Что найти'!$B$9:$B$160,$B16)</x:f>
        <x:v>14</x:v>
      </x:c>
      <x:c r="F16" s="14" t="n">
        <x:f>COUNTIFS('Что найти'!$B$9:$B$160,$B16,'Что найти'!$H$9:$H$160,"&gt;0")</x:f>
        <x:v>14</x:v>
      </x:c>
      <x:c r="G16" s="13" t="str">
        <x:v>Дилеры IEK, EKF, КЭАЗ, КВТ и электротехнические базы</x:v>
      </x:c>
      <x:c r="H16" s="13" t="str">
        <x:v>Точные модели, размеры, IP, токи, число полюсов, комплектация и фасовка</x:v>
      </x:c>
    </x:row>
    <x:row r="17" ht="39" customHeight="1">
      <x:c r="A17" s="8" t="str">
        <x:v>M09</x:v>
      </x:c>
      <x:c r="B17" s="8" t="str">
        <x:v>Светильники, опоры и их комплектующие</x:v>
      </x:c>
      <x:c r="C17" s="10" t="n">
        <x:f>SUMIFS('Что найти'!$F$9:$F$160,'Что найти'!$B$9:$B$160,$B17)</x:f>
        <x:v>14</x:v>
      </x:c>
      <x:c r="D17" s="10" t="n">
        <x:f>SUMIFS('Что найти'!$G$9:$G$160,'Что найти'!$B$9:$B$160,$B17)</x:f>
        <x:v>0</x:v>
      </x:c>
      <x:c r="E17" s="10" t="n">
        <x:f>SUMIFS('Что найти'!$H$9:$H$160,'Что найти'!$B$9:$B$160,$B17)</x:f>
        <x:v>14</x:v>
      </x:c>
      <x:c r="F17" s="10" t="n">
        <x:f>COUNTIFS('Что найти'!$B$9:$B$160,$B17,'Что найти'!$H$9:$H$160,"&gt;0")</x:f>
        <x:v>14</x:v>
      </x:c>
      <x:c r="G17" s="8" t="str">
        <x:v>Производитель изделий AF и его дилеры</x:v>
      </x:c>
      <x:c r="H17" s="8" t="str">
        <x:v>Полный артикул AF, оптика, мощность, температура света, покрытие и комплект</x:v>
      </x:c>
    </x:row>
    <x:row r="18" ht="39" customHeight="1">
      <x:c r="A18" s="13" t="str">
        <x:v>M10</x:v>
      </x:c>
      <x:c r="B18" s="13" t="str">
        <x:v>Видеонаблюдение и сетевое оборудование</x:v>
      </x:c>
      <x:c r="C18" s="14" t="n">
        <x:f>SUMIFS('Что найти'!$F$9:$F$160,'Что найти'!$B$9:$B$160,$B18)</x:f>
        <x:v>15</x:v>
      </x:c>
      <x:c r="D18" s="14" t="n">
        <x:f>SUMIFS('Что найти'!$G$9:$G$160,'Что найти'!$B$9:$B$160,$B18)</x:f>
        <x:v>7</x:v>
      </x:c>
      <x:c r="E18" s="14" t="n">
        <x:f>SUMIFS('Что найти'!$H$9:$H$160,'Что найти'!$B$9:$B$160,$B18)</x:f>
        <x:v>8</x:v>
      </x:c>
      <x:c r="F18" s="14" t="n">
        <x:f>COUNTIFS('Что найти'!$B$9:$B$160,$B18,'Что найти'!$H$9:$H$160,"&gt;0")</x:f>
        <x:v>8</x:v>
      </x:c>
      <x:c r="G18" s="13" t="str">
        <x:v>Дилеры Dahua, TFortis, TRASSIR, ATEN и ЦМО</x:v>
      </x:c>
      <x:c r="H18" s="13" t="str">
        <x:v>Точная модель и суффикс, ёмкость, порты, состав комплекта, наличие</x:v>
      </x:c>
    </x:row>
    <x:row r="19" ht="39" customHeight="1">
      <x:c r="A19" s="8" t="str">
        <x:v>W01</x:v>
      </x:c>
      <x:c r="B19" s="8" t="str">
        <x:v>Земляные работы</x:v>
      </x:c>
      <x:c r="C19" s="10" t="n">
        <x:f>SUMIFS('Что найти'!$F$9:$F$160,'Что найти'!$B$9:$B$160,$B19)</x:f>
        <x:v>18</x:v>
      </x:c>
      <x:c r="D19" s="10" t="n">
        <x:f>SUMIFS('Что найти'!$G$9:$G$160,'Что найти'!$B$9:$B$160,$B19)</x:f>
        <x:v>0</x:v>
      </x:c>
      <x:c r="E19" s="10" t="n">
        <x:f>SUMIFS('Что найти'!$H$9:$H$160,'Что найти'!$B$9:$B$160,$B19)</x:f>
        <x:v>18</x:v>
      </x:c>
      <x:c r="F19" s="10" t="n">
        <x:f>COUNTIFS('Что найти'!$B$9:$B$160,$B19,'Что найти'!$H$9:$H$160,"&gt;0")</x:f>
        <x:v>12</x:v>
      </x:c>
      <x:c r="G19" s="8" t="str">
        <x:v>Местные земляные подрядчики и владельцы спецтехники</x:v>
      </x:c>
      <x:c r="H19" s="8" t="str">
        <x:v>Группа грунта, способ, ковш/мощность, глубина и перемещение; полный объём работ</x:v>
      </x:c>
    </x:row>
    <x:row r="20" ht="39" customHeight="1">
      <x:c r="A20" s="13" t="str">
        <x:v>W02</x:v>
      </x:c>
      <x:c r="B20" s="13" t="str">
        <x:v>Погрузка и перевозка</x:v>
      </x:c>
      <x:c r="C20" s="14" t="n">
        <x:f>SUMIFS('Что найти'!$F$9:$F$160,'Что найти'!$B$9:$B$160,$B20)</x:f>
        <x:v>8</x:v>
      </x:c>
      <x:c r="D20" s="14" t="n">
        <x:f>SUMIFS('Что найти'!$G$9:$G$160,'Что найти'!$B$9:$B$160,$B20)</x:f>
        <x:v>0</x:v>
      </x:c>
      <x:c r="E20" s="14" t="n">
        <x:f>SUMIFS('Что найти'!$H$9:$H$160,'Что найти'!$B$9:$B$160,$B20)</x:f>
        <x:v>8</x:v>
      </x:c>
      <x:c r="F20" s="14" t="n">
        <x:f>COUNTIFS('Что найти'!$B$9:$B$160,$B20,'Что найти'!$H$9:$H$160,"&gt;0")</x:f>
        <x:v>2</x:v>
      </x:c>
      <x:c r="G20" s="13" t="str">
        <x:v>Местные перевозчики и владельцы самосвалов</x:v>
      </x:c>
      <x:c r="H20" s="13" t="str">
        <x:v>Вид груза, тоннаж, 10 км, тип дороги, загрузка/разгрузка и минимальный рейс</x:v>
      </x:c>
    </x:row>
    <x:row r="21" ht="39" customHeight="1">
      <x:c r="A21" s="8" t="str">
        <x:v>W03</x:v>
      </x:c>
      <x:c r="B21" s="8" t="str">
        <x:v>Основания, бетон и геоматериалы</x:v>
      </x:c>
      <x:c r="C21" s="10" t="n">
        <x:f>SUMIFS('Что найти'!$F$9:$F$160,'Что найти'!$B$9:$B$160,$B21)</x:f>
        <x:v>12</x:v>
      </x:c>
      <x:c r="D21" s="10" t="n">
        <x:f>SUMIFS('Что найти'!$G$9:$G$160,'Что найти'!$B$9:$B$160,$B21)</x:f>
        <x:v>0</x:v>
      </x:c>
      <x:c r="E21" s="10" t="n">
        <x:f>SUMIFS('Что найти'!$H$9:$H$160,'Что найти'!$B$9:$B$160,$B21)</x:f>
        <x:v>12</x:v>
      </x:c>
      <x:c r="F21" s="10" t="n">
        <x:f>COUNTIFS('Что найти'!$B$9:$B$160,$B21,'Что найти'!$H$9:$H$160,"&gt;0")</x:f>
        <x:v>7</x:v>
      </x:c>
      <x:c r="G21" s="8" t="str">
        <x:v>Подрядчики по основаниям, бетонированию и геосинтетике</x:v>
      </x:c>
      <x:c r="H21" s="8" t="str">
        <x:v>Толщина/объём основания, способ выполнения, материалы, техника и расходники</x:v>
      </x:c>
    </x:row>
    <x:row r="22" ht="39" customHeight="1">
      <x:c r="A22" s="13" t="str">
        <x:v>W04</x:v>
      </x:c>
      <x:c r="B22" s="13" t="str">
        <x:v>Мощение, бордюры и разметка</x:v>
      </x:c>
      <x:c r="C22" s="14" t="n">
        <x:f>SUMIFS('Что найти'!$F$9:$F$160,'Что найти'!$B$9:$B$160,$B22)</x:f>
        <x:v>10</x:v>
      </x:c>
      <x:c r="D22" s="14" t="n">
        <x:f>SUMIFS('Что найти'!$G$9:$G$160,'Что найти'!$B$9:$B$160,$B22)</x:f>
        <x:v>0</x:v>
      </x:c>
      <x:c r="E22" s="14" t="n">
        <x:f>SUMIFS('Что найти'!$H$9:$H$160,'Что найти'!$B$9:$B$160,$B22)</x:f>
        <x:v>10</x:v>
      </x:c>
      <x:c r="F22" s="14" t="n">
        <x:f>COUNTIFS('Что найти'!$B$9:$B$160,$B22,'Что найти'!$H$9:$H$160,"&gt;0")</x:f>
        <x:v>9</x:v>
      </x:c>
      <x:c r="G22" s="13" t="str">
        <x:v>Подрядчики по благоустройству и дорожным работам</x:v>
      </x:c>
      <x:c r="H22" s="13" t="str">
        <x:v>Рисунок мощения, резка, толщина, вид разметки; состав цены и технология</x:v>
      </x:c>
    </x:row>
    <x:row r="23" ht="39" customHeight="1">
      <x:c r="A23" s="8" t="str">
        <x:v>W05</x:v>
      </x:c>
      <x:c r="B23" s="8" t="str">
        <x:v>Посев газонов</x:v>
      </x:c>
      <x:c r="C23" s="10" t="n">
        <x:f>SUMIFS('Что найти'!$F$9:$F$160,'Что найти'!$B$9:$B$160,$B23)</x:f>
        <x:v>2</x:v>
      </x:c>
      <x:c r="D23" s="10" t="n">
        <x:f>SUMIFS('Что найти'!$G$9:$G$160,'Что найти'!$B$9:$B$160,$B23)</x:f>
        <x:v>0</x:v>
      </x:c>
      <x:c r="E23" s="10" t="n">
        <x:f>SUMIFS('Что найти'!$H$9:$H$160,'Что найти'!$B$9:$B$160,$B23)</x:f>
        <x:v>2</x:v>
      </x:c>
      <x:c r="F23" s="10" t="n">
        <x:f>COUNTIFS('Что найти'!$B$9:$B$160,$B23,'Что найти'!$H$9:$H$160,"&gt;0")</x:f>
        <x:v>1</x:v>
      </x:c>
      <x:c r="G23" s="8" t="str">
        <x:v>Местные подрядчики по озеленению</x:v>
      </x:c>
      <x:c r="H23" s="8" t="str">
        <x:v>Способ посева, площадь, семена и другие включённые материалы</x:v>
      </x:c>
    </x:row>
    <x:row r="24" ht="39" customHeight="1">
      <x:c r="A24" s="13" t="str">
        <x:v>W06</x:v>
      </x:c>
      <x:c r="B24" s="13" t="str">
        <x:v>Электромонтаж и наружное освещение</x:v>
      </x:c>
      <x:c r="C24" s="14" t="n">
        <x:f>SUMIFS('Что найти'!$F$9:$F$160,'Что найти'!$B$9:$B$160,$B24)</x:f>
        <x:v>31</x:v>
      </x:c>
      <x:c r="D24" s="14" t="n">
        <x:f>SUMIFS('Что найти'!$G$9:$G$160,'Что найти'!$B$9:$B$160,$B24)</x:f>
        <x:v>0</x:v>
      </x:c>
      <x:c r="E24" s="14" t="n">
        <x:f>SUMIFS('Что найти'!$H$9:$H$160,'Что найти'!$B$9:$B$160,$B24)</x:f>
        <x:v>31</x:v>
      </x:c>
      <x:c r="F24" s="14" t="n">
        <x:f>COUNTIFS('Что найти'!$B$9:$B$160,$B24,'Что найти'!$H$9:$H$160,"&gt;0")</x:f>
        <x:v>21</x:v>
      </x:c>
      <x:c r="G24" s="13" t="str">
        <x:v>Местные электромонтажные подрядчики</x:v>
      </x:c>
      <x:c r="H24" s="13" t="str">
        <x:v>Монтаж нужного изделия/опоры, прокладка кабеля, заземление; материалы и расходники</x:v>
      </x:c>
    </x:row>
    <x:row r="25" ht="39" customHeight="1">
      <x:c r="A25" s="8" t="str">
        <x:v>W07</x:v>
      </x:c>
      <x:c r="B25" s="8" t="str">
        <x:v>Монтаж связи и видеонаблюдения</x:v>
      </x:c>
      <x:c r="C25" s="10" t="n">
        <x:f>SUMIFS('Что найти'!$F$9:$F$160,'Что найти'!$B$9:$B$160,$B25)</x:f>
        <x:v>11</x:v>
      </x:c>
      <x:c r="D25" s="10" t="n">
        <x:f>SUMIFS('Что найти'!$G$9:$G$160,'Что найти'!$B$9:$B$160,$B25)</x:f>
        <x:v>0</x:v>
      </x:c>
      <x:c r="E25" s="10" t="n">
        <x:f>SUMIFS('Что найти'!$H$9:$H$160,'Что найти'!$B$9:$B$160,$B25)</x:f>
        <x:v>11</x:v>
      </x:c>
      <x:c r="F25" s="10" t="n">
        <x:f>COUNTIFS('Что найти'!$B$9:$B$160,$B25,'Что найти'!$H$9:$H$160,"&gt;0")</x:f>
        <x:v>11</x:v>
      </x:c>
      <x:c r="G25" s="8" t="str">
        <x:v>Местные подрядчики по СКС, оптике и видеонаблюдению</x:v>
      </x:c>
      <x:c r="H25" s="8" t="str">
        <x:v>Монтаж, настройка и расходники отдельно от цены оборудования; нужная модель/состав</x:v>
      </x:c>
    </x:row>
    <x:row r="26" ht="39" customHeight="1">
      <x:c r="A26" s="13" t="str">
        <x:v>W08</x:v>
      </x:c>
      <x:c r="B26" s="13" t="str">
        <x:v>Измерения и испытания</x:v>
      </x:c>
      <x:c r="C26" s="14" t="n">
        <x:f>SUMIFS('Что найти'!$F$9:$F$160,'Что найти'!$B$9:$B$160,$B26)</x:f>
        <x:v>10</x:v>
      </x:c>
      <x:c r="D26" s="14" t="n">
        <x:f>SUMIFS('Что найти'!$G$9:$G$160,'Что найти'!$B$9:$B$160,$B26)</x:f>
        <x:v>0</x:v>
      </x:c>
      <x:c r="E26" s="14" t="n">
        <x:f>SUMIFS('Что найти'!$H$9:$H$160,'Что найти'!$B$9:$B$160,$B26)</x:f>
        <x:v>10</x:v>
      </x:c>
      <x:c r="F26" s="14" t="n">
        <x:f>COUNTIFS('Что найти'!$B$9:$B$160,$B26,'Что найти'!$H$9:$H$160,"&gt;0")</x:f>
        <x:v>6</x:v>
      </x:c>
      <x:c r="G26" s="13" t="str">
        <x:v>Электролаборатории и специалисты по измерению оптики</x:v>
      </x:c>
      <x:c r="H26" s="13" t="str">
        <x:v>Объект, число линий/волокон, длина, напряжение, протокол и выезд</x:v>
      </x:c>
    </x:row>
  </x:sheetData>
  <x:pageMargins left="0.7" right="0.7" top="0.75" bottom="0.75" header="0.3" footer="0.3"/>
  <x:tableParts count="1">
    <x:tablePart xmlns:r="http://schemas.openxmlformats.org/officeDocument/2006/relationships" r:id="Reecd7e9c40364912"/>
  </x:tableParts>
</x:worksheet>
</file>

<file path=xl/worksheets/sheet2.xml><?xml version="1.0" encoding="utf-8"?>
<x:worksheet xmlns:x="http://schemas.openxmlformats.org/spreadsheetml/2006/main">
  <x:sheetPr>
    <x:tabColor rgb="FF243D59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72" hidden="0" customWidth="1"/>
    <x:col min="4" max="4" width="12" hidden="0" customWidth="1"/>
    <x:col min="5" max="5" width="17" hidden="0" customWidth="1"/>
    <x:col min="6" max="6" width="12" hidden="0" customWidth="1"/>
    <x:col min="7" max="7" width="12" hidden="0" customWidth="1"/>
    <x:col min="8" max="8" width="12" hidden="0" customWidth="1"/>
    <x:col min="9" max="9" width="22" hidden="0" customWidth="1"/>
    <x:col min="10" max="10" width="37" hidden="0" customWidth="1"/>
    <x:col min="11" max="11" width="50" hidden="0" customWidth="1"/>
    <x:col min="12" max="12" width="3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Что нужно найти для «Волги»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Список по смете: 152 потребности. Для 133 ещё нужна сопоставимая цена.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 t="str">
        <x:v>Фильтр «Ещё найти &gt; 0» показывает текущие пробелы. Исходные строки — на соседнем листе.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 t="str">
        <x:v>Объём — сумма положительных строк одной потребности. Это ещё не заказ с учётом упаковок и поправок.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4" customHeight="1">
      <x:c r="A8" s="7" t="str">
        <x:v>ID</x:v>
      </x:c>
      <x:c r="B8" s="7" t="str">
        <x:v>Категория</x:v>
      </x:c>
      <x:c r="C8" s="7" t="str">
        <x:v>Товар или работа: точное название</x:v>
      </x:c>
      <x:c r="D8" s="7" t="str">
        <x:v>Ед.</x:v>
      </x:c>
      <x:c r="E8" s="7" t="str">
        <x:v>Объём по смете</x:v>
      </x:c>
      <x:c r="F8" s="7" t="str">
        <x:v>Строк сметы</x:v>
      </x:c>
      <x:c r="G8" s="7" t="str">
        <x:v>Цена есть</x:v>
      </x:c>
      <x:c r="H8" s="7" t="str">
        <x:v>Ещё найти</x:v>
      </x:c>
      <x:c r="I8" s="7" t="str">
        <x:v>Статус</x:v>
      </x:c>
      <x:c r="J8" s="7" t="str">
        <x:v>Что искать</x:v>
      </x:c>
      <x:c r="K8" s="7" t="str">
        <x:v>Что уточнить</x:v>
      </x:c>
      <x:c r="L8" s="7" t="str">
        <x:v>Где искать</x:v>
      </x:c>
    </x:row>
    <x:row r="9" ht="39" customHeight="1">
      <x:c r="A9" s="8" t="str">
        <x:v>N001</x:v>
      </x:c>
      <x:c r="B9" s="8" t="str">
        <x:v>Сыпучие материалы и грунт</x:v>
      </x:c>
      <x:c r="C9" s="8" t="str">
        <x:v>Песок природный для строительных работ I класс, мелкий</x:v>
      </x:c>
      <x:c r="D9" s="8" t="str">
        <x:v>м³</x:v>
      </x:c>
      <x:c r="E9" s="11" t="n">
        <x:f>SUMIFS('Строки сметы'!$H$9:$H$267,'Строки сметы'!$A$9:$A$267,$A9)</x:f>
        <x:v>1293.203598</x:v>
      </x:c>
      <x:c r="F9" s="10" t="n">
        <x:f>COUNTIFS('Строки сметы'!$A$9:$A$267,$A9)</x:f>
        <x:v>9</x:v>
      </x:c>
      <x:c r="G9" s="10" t="n">
        <x:f>SUMIFS('Строки сметы'!$K$9:$K$267,'Строки сметы'!$A$9:$A$267,$A9)</x:f>
        <x:v>0</x:v>
      </x:c>
      <x:c r="H9" s="10" t="n">
        <x:f>SUMIFS('Строки сметы'!$J$9:$J$267,'Строки сметы'!$A$9:$A$267,$A9)</x:f>
        <x:v>9</x:v>
      </x:c>
      <x:c r="I9" s="8" t="str">
        <x:f>IF(H9=0,"Цена есть",IF(G9&gt;0,"Частично покрыто","Нужно найти"))</x:f>
        <x:v>Нужно найти</x:v>
      </x:c>
      <x:c r="J9" s="8" t="str">
        <x:v>Найти сопоставимую цену</x:v>
      </x:c>
      <x:c r="K9" s="8" t="str"/>
      <x:c r="L9" s="8" t="str">
        <x:v>Карьеры и местные базы нерудных материалов</x:v>
      </x:c>
    </x:row>
    <x:row r="10" ht="39" customHeight="1">
      <x:c r="A10" s="13" t="str">
        <x:v>N002</x:v>
      </x:c>
      <x:c r="B10" s="13" t="str">
        <x:v>Сыпучие материалы и грунт</x:v>
      </x:c>
      <x:c r="C10" s="13" t="str">
        <x:v>Щебень из плотных горных пород для строительных работ М 1200, фракция 20-40 мм</x:v>
      </x:c>
      <x:c r="D10" s="13" t="str">
        <x:v>м³</x:v>
      </x:c>
      <x:c r="E10" s="15" t="n">
        <x:f>SUMIFS('Строки сметы'!$H$9:$H$267,'Строки сметы'!$A$9:$A$267,$A10)</x:f>
        <x:v>1334.3663999999999</x:v>
      </x:c>
      <x:c r="F10" s="14" t="n">
        <x:f>COUNTIFS('Строки сметы'!$A$9:$A$267,$A10)</x:f>
        <x:v>4</x:v>
      </x:c>
      <x:c r="G10" s="14" t="n">
        <x:f>SUMIFS('Строки сметы'!$K$9:$K$267,'Строки сметы'!$A$9:$A$267,$A10)</x:f>
        <x:v>0</x:v>
      </x:c>
      <x:c r="H10" s="14" t="n">
        <x:f>SUMIFS('Строки сметы'!$J$9:$J$267,'Строки сметы'!$A$9:$A$267,$A10)</x:f>
        <x:v>4</x:v>
      </x:c>
      <x:c r="I10" s="13" t="str">
        <x:f>IF(H10=0,"Цена есть",IF(G10&gt;0,"Частично покрыто","Нужно найти"))</x:f>
        <x:v>Нужно найти</x:v>
      </x:c>
      <x:c r="J10" s="13" t="str">
        <x:v>Найти сопоставимую цену</x:v>
      </x:c>
      <x:c r="K10" s="13" t="str"/>
      <x:c r="L10" s="13" t="str">
        <x:v>Карьеры и местные базы нерудных материалов</x:v>
      </x:c>
    </x:row>
    <x:row r="11" ht="39" customHeight="1">
      <x:c r="A11" s="8" t="str">
        <x:v>N003</x:v>
      </x:c>
      <x:c r="B11" s="8" t="str">
        <x:v>Сыпучие материалы и грунт</x:v>
      </x:c>
      <x:c r="C11" s="8" t="str">
        <x:v>Земля растительная</x:v>
      </x:c>
      <x:c r="D11" s="8" t="str">
        <x:v>м³</x:v>
      </x:c>
      <x:c r="E11" s="11" t="n">
        <x:f>SUMIFS('Строки сметы'!$H$9:$H$267,'Строки сметы'!$A$9:$A$267,$A11)</x:f>
        <x:v>560.34</x:v>
      </x:c>
      <x:c r="F11" s="10" t="n">
        <x:f>COUNTIFS('Строки сметы'!$A$9:$A$267,$A11)</x:f>
        <x:v>2</x:v>
      </x:c>
      <x:c r="G11" s="10" t="n">
        <x:f>SUMIFS('Строки сметы'!$K$9:$K$267,'Строки сметы'!$A$9:$A$267,$A11)</x:f>
        <x:v>0</x:v>
      </x:c>
      <x:c r="H11" s="10" t="n">
        <x:f>SUMIFS('Строки сметы'!$J$9:$J$267,'Строки сметы'!$A$9:$A$267,$A11)</x:f>
        <x:v>2</x:v>
      </x:c>
      <x:c r="I11" s="8" t="str">
        <x:f>IF(H11=0,"Цена есть",IF(G11&gt;0,"Частично покрыто","Нужно найти"))</x:f>
        <x:v>Нужно найти</x:v>
      </x:c>
      <x:c r="J11" s="8" t="str">
        <x:v>Найти сопоставимую цену</x:v>
      </x:c>
      <x:c r="K11" s="8" t="str"/>
      <x:c r="L11" s="8" t="str">
        <x:v>Карьеры и местные базы нерудных материалов</x:v>
      </x:c>
    </x:row>
    <x:row r="12" ht="39" customHeight="1">
      <x:c r="A12" s="13" t="str">
        <x:v>N004</x:v>
      </x:c>
      <x:c r="B12" s="13" t="str">
        <x:v>Бетон и сухие смеси</x:v>
      </x:c>
      <x:c r="C12" s="13" t="str">
        <x:v>Смеси сухие цементно-песчаные монтажно-кладочные, крупность заполнителя не более 3,5 мм, класс В12,5 (М150), F100</x:v>
      </x:c>
      <x:c r="D12" s="13" t="str">
        <x:v>т</x:v>
      </x:c>
      <x:c r="E12" s="15" t="n">
        <x:f>SUMIFS('Строки сметы'!$H$9:$H$267,'Строки сметы'!$A$9:$A$267,$A12)</x:f>
        <x:v>305.8657335</x:v>
      </x:c>
      <x:c r="F12" s="14" t="n">
        <x:f>COUNTIFS('Строки сметы'!$A$9:$A$267,$A12)</x:f>
        <x:v>3</x:v>
      </x:c>
      <x:c r="G12" s="14" t="n">
        <x:f>SUMIFS('Строки сметы'!$K$9:$K$267,'Строки сметы'!$A$9:$A$267,$A12)</x:f>
        <x:v>0</x:v>
      </x:c>
      <x:c r="H12" s="14" t="n">
        <x:f>SUMIFS('Строки сметы'!$J$9:$J$267,'Строки сметы'!$A$9:$A$267,$A12)</x:f>
        <x:v>3</x:v>
      </x:c>
      <x:c r="I12" s="13" t="str">
        <x:f>IF(H12=0,"Цена есть",IF(G12&gt;0,"Частично покрыто","Нужно найти"))</x:f>
        <x:v>Нужно найти</x:v>
      </x:c>
      <x:c r="J12" s="13" t="str">
        <x:v>Найти сопоставимую цену</x:v>
      </x:c>
      <x:c r="K12" s="13" t="str"/>
      <x:c r="L12" s="13" t="str">
        <x:v>Местные РБУ, производители и продавцы сухих смесей</x:v>
      </x:c>
    </x:row>
    <x:row r="13" ht="39" customHeight="1">
      <x:c r="A13" s="8" t="str">
        <x:v>N005</x:v>
      </x:c>
      <x:c r="B13" s="8" t="str">
        <x:v>Бетон и сухие смеси</x:v>
      </x:c>
      <x:c r="C13" s="8" t="str">
        <x:v>Смеси бетонные тяжелого бетона (БСТ) на щебне из гравия, класс В15, F(1)100, W4</x:v>
      </x:c>
      <x:c r="D13" s="8" t="str">
        <x:v>м³</x:v>
      </x:c>
      <x:c r="E13" s="11" t="n">
        <x:f>SUMIFS('Строки сметы'!$H$9:$H$267,'Строки сметы'!$A$9:$A$267,$A13)</x:f>
        <x:v>83.2136</x:v>
      </x:c>
      <x:c r="F13" s="10" t="n">
        <x:f>COUNTIFS('Строки сметы'!$A$9:$A$267,$A13)</x:f>
        <x:v>2</x:v>
      </x:c>
      <x:c r="G13" s="10" t="n">
        <x:f>SUMIFS('Строки сметы'!$K$9:$K$267,'Строки сметы'!$A$9:$A$267,$A13)</x:f>
        <x:v>0</x:v>
      </x:c>
      <x:c r="H13" s="10" t="n">
        <x:f>SUMIFS('Строки сметы'!$J$9:$J$267,'Строки сметы'!$A$9:$A$267,$A13)</x:f>
        <x:v>2</x:v>
      </x:c>
      <x:c r="I13" s="8" t="str">
        <x:f>IF(H13=0,"Цена есть",IF(G13&gt;0,"Частично покрыто","Нужно найти"))</x:f>
        <x:v>Нужно найти</x:v>
      </x:c>
      <x:c r="J13" s="8" t="str">
        <x:v>Найти сопоставимую цену</x:v>
      </x:c>
      <x:c r="K13" s="8" t="str"/>
      <x:c r="L13" s="8" t="str">
        <x:v>Местные РБУ, производители и продавцы сухих смесей</x:v>
      </x:c>
    </x:row>
    <x:row r="14" ht="39" customHeight="1">
      <x:c r="A14" s="13" t="str">
        <x:v>N006</x:v>
      </x:c>
      <x:c r="B14" s="13" t="str">
        <x:v>Бетон и сухие смеси</x:v>
      </x:c>
      <x:c r="C14" s="13" t="str">
        <x:v>Смеси бетонные тяжелого бетона (БСТ) на щебне из гравия, класс В20, F(1)100, W4</x:v>
      </x:c>
      <x:c r="D14" s="13" t="str">
        <x:v>м³</x:v>
      </x:c>
      <x:c r="E14" s="15" t="n">
        <x:f>SUMIFS('Строки сметы'!$H$9:$H$267,'Строки сметы'!$A$9:$A$267,$A14)</x:f>
        <x:v>0.9741</x:v>
      </x:c>
      <x:c r="F14" s="14" t="n">
        <x:f>COUNTIFS('Строки сметы'!$A$9:$A$267,$A14)</x:f>
        <x:v>2</x:v>
      </x:c>
      <x:c r="G14" s="14" t="n">
        <x:f>SUMIFS('Строки сметы'!$K$9:$K$267,'Строки сметы'!$A$9:$A$267,$A14)</x:f>
        <x:v>0</x:v>
      </x:c>
      <x:c r="H14" s="14" t="n">
        <x:f>SUMIFS('Строки сметы'!$J$9:$J$267,'Строки сметы'!$A$9:$A$267,$A14)</x:f>
        <x:v>2</x:v>
      </x:c>
      <x:c r="I14" s="13" t="str">
        <x:f>IF(H14=0,"Цена есть",IF(G14&gt;0,"Частично покрыто","Нужно найти"))</x:f>
        <x:v>Нужно найти</x:v>
      </x:c>
      <x:c r="J14" s="13" t="str">
        <x:v>Найти сопоставимую цену</x:v>
      </x:c>
      <x:c r="K14" s="13" t="str"/>
      <x:c r="L14" s="13" t="str">
        <x:v>Местные РБУ, производители и продавцы сухих смесей</x:v>
      </x:c>
    </x:row>
    <x:row r="15" ht="39" customHeight="1">
      <x:c r="A15" s="8" t="str">
        <x:v>N007</x:v>
      </x:c>
      <x:c r="B15" s="8" t="str">
        <x:v>Бетон и сухие смеси</x:v>
      </x:c>
      <x:c r="C15" s="8" t="str">
        <x:v>Смеси бетонные тяжелого бетона (БСТ) на щебне из гравия, класс В20, F(1)150, W6</x:v>
      </x:c>
      <x:c r="D15" s="8" t="str">
        <x:v>м³</x:v>
      </x:c>
      <x:c r="E15" s="11" t="n">
        <x:f>SUMIFS('Строки сметы'!$H$9:$H$267,'Строки сметы'!$A$9:$A$267,$A15)</x:f>
        <x:v>9.0168</x:v>
      </x:c>
      <x:c r="F15" s="10" t="n">
        <x:f>COUNTIFS('Строки сметы'!$A$9:$A$267,$A15)</x:f>
        <x:v>1</x:v>
      </x:c>
      <x:c r="G15" s="10" t="n">
        <x:f>SUMIFS('Строки сметы'!$K$9:$K$267,'Строки сметы'!$A$9:$A$267,$A15)</x:f>
        <x:v>0</x:v>
      </x:c>
      <x:c r="H15" s="10" t="n">
        <x:f>SUMIFS('Строки сметы'!$J$9:$J$267,'Строки сметы'!$A$9:$A$267,$A15)</x:f>
        <x:v>1</x:v>
      </x:c>
      <x:c r="I15" s="8" t="str">
        <x:f>IF(H15=0,"Цена есть",IF(G15&gt;0,"Частично покрыто","Нужно найти"))</x:f>
        <x:v>Нужно найти</x:v>
      </x:c>
      <x:c r="J15" s="8" t="str">
        <x:v>Найти сопоставимую цену</x:v>
      </x:c>
      <x:c r="K15" s="8" t="str"/>
      <x:c r="L15" s="8" t="str">
        <x:v>Местные РБУ, производители и продавцы сухих смесей</x:v>
      </x:c>
    </x:row>
    <x:row r="16" ht="39" customHeight="1">
      <x:c r="A16" s="13" t="str">
        <x:v>N008</x:v>
      </x:c>
      <x:c r="B16" s="13" t="str">
        <x:v>Плитка и бордюры</x:v>
      </x:c>
      <x:c r="C16" s="13" t="str">
        <x:v>Тротуарная плитка Готика Паркет, Тиманфайа, с/ц, ч/п h=60 мм размером 300x100 мм</x:v>
      </x:c>
      <x:c r="D16" s="13" t="str">
        <x:v>м²</x:v>
      </x:c>
      <x:c r="E16" s="15" t="n">
        <x:f>SUMIFS('Строки сметы'!$H$9:$H$267,'Строки сметы'!$A$9:$A$267,$A16)</x:f>
        <x:v>2998.7388</x:v>
      </x:c>
      <x:c r="F16" s="14" t="n">
        <x:f>COUNTIFS('Строки сметы'!$A$9:$A$267,$A16)</x:f>
        <x:v>2</x:v>
      </x:c>
      <x:c r="G16" s="14" t="n">
        <x:f>SUMIFS('Строки сметы'!$K$9:$K$267,'Строки сметы'!$A$9:$A$267,$A16)</x:f>
        <x:v>0</x:v>
      </x:c>
      <x:c r="H16" s="14" t="n">
        <x:f>SUMIFS('Строки сметы'!$J$9:$J$267,'Строки сметы'!$A$9:$A$267,$A16)</x:f>
        <x:v>2</x:v>
      </x:c>
      <x:c r="I16" s="13" t="str">
        <x:f>IF(H16=0,"Цена есть",IF(G16&gt;0,"Частично покрыто","Нужно найти"))</x:f>
        <x:v>Нужно найти</x:v>
      </x:c>
      <x:c r="J16" s="13" t="str">
        <x:v>Найти сопоставимую цену</x:v>
      </x:c>
      <x:c r="K16" s="13" t="str"/>
      <x:c r="L16" s="13" t="str">
        <x:v>Производитель Готика и его дилеры, заводы ЖБИ</x:v>
      </x:c>
    </x:row>
    <x:row r="17" ht="39" customHeight="1">
      <x:c r="A17" s="8" t="str">
        <x:v>N009</x:v>
      </x:c>
      <x:c r="B17" s="8" t="str">
        <x:v>Плитка и бордюры</x:v>
      </x:c>
      <x:c r="C17" s="8" t="str">
        <x:v>Бордюрный камень 100.20.8 Тиманфайа, б/ц, ч/п</x:v>
      </x:c>
      <x:c r="D17" s="8" t="str">
        <x:v>м</x:v>
      </x:c>
      <x:c r="E17" s="11" t="n">
        <x:f>SUMIFS('Строки сметы'!$H$9:$H$267,'Строки сметы'!$A$9:$A$267,$A17)</x:f>
        <x:v>755</x:v>
      </x:c>
      <x:c r="F17" s="10" t="n">
        <x:f>COUNTIFS('Строки сметы'!$A$9:$A$267,$A17)</x:f>
        <x:v>1</x:v>
      </x:c>
      <x:c r="G17" s="10" t="n">
        <x:f>SUMIFS('Строки сметы'!$K$9:$K$267,'Строки сметы'!$A$9:$A$267,$A17)</x:f>
        <x:v>0</x:v>
      </x:c>
      <x:c r="H17" s="10" t="n">
        <x:f>SUMIFS('Строки сметы'!$J$9:$J$267,'Строки сметы'!$A$9:$A$267,$A17)</x:f>
        <x:v>1</x:v>
      </x:c>
      <x:c r="I17" s="8" t="str">
        <x:f>IF(H17=0,"Цена есть",IF(G17&gt;0,"Частично покрыто","Нужно найти"))</x:f>
        <x:v>Нужно найти</x:v>
      </x:c>
      <x:c r="J17" s="8" t="str">
        <x:v>Найти сопоставимую цену</x:v>
      </x:c>
      <x:c r="K17" s="8" t="str"/>
      <x:c r="L17" s="8" t="str">
        <x:v>Производитель Готика и его дилеры, заводы ЖБИ</x:v>
      </x:c>
    </x:row>
    <x:row r="18" ht="39" customHeight="1">
      <x:c r="A18" s="13" t="str">
        <x:v>N010</x:v>
      </x:c>
      <x:c r="B18" s="13" t="str">
        <x:v>Плитка и бордюры</x:v>
      </x:c>
      <x:c r="C18" s="13" t="str">
        <x:v>Камни бортовые бетонные марки БР, БВ, бетон В22,5 (М300)</x:v>
      </x:c>
      <x:c r="D18" s="13" t="str">
        <x:v>м³</x:v>
      </x:c>
      <x:c r="E18" s="15" t="n">
        <x:f>SUMIFS('Строки сметы'!$H$9:$H$267,'Строки сметы'!$A$9:$A$267,$A18)</x:f>
        <x:v>14.16</x:v>
      </x:c>
      <x:c r="F18" s="14" t="n">
        <x:f>COUNTIFS('Строки сметы'!$A$9:$A$267,$A18)</x:f>
        <x:v>1</x:v>
      </x:c>
      <x:c r="G18" s="14" t="n">
        <x:f>SUMIFS('Строки сметы'!$K$9:$K$267,'Строки сметы'!$A$9:$A$267,$A18)</x:f>
        <x:v>0</x:v>
      </x:c>
      <x:c r="H18" s="14" t="n">
        <x:f>SUMIFS('Строки сметы'!$J$9:$J$267,'Строки сметы'!$A$9:$A$267,$A18)</x:f>
        <x:v>1</x:v>
      </x:c>
      <x:c r="I18" s="13" t="str">
        <x:f>IF(H18=0,"Цена есть",IF(G18&gt;0,"Частично покрыто","Нужно найти"))</x:f>
        <x:v>Нужно найти</x:v>
      </x:c>
      <x:c r="J18" s="13" t="str">
        <x:v>Найти сопоставимую цену</x:v>
      </x:c>
      <x:c r="K18" s="13" t="str">
        <x:v>Уточнить конкретную марку/геометрию БР или БВ и объём одного изделия для пересчёта м³.</x:v>
      </x:c>
      <x:c r="L18" s="13" t="str">
        <x:v>Производитель Готика и его дилеры, заводы ЖБИ</x:v>
      </x:c>
    </x:row>
    <x:row r="19" ht="39" customHeight="1">
      <x:c r="A19" s="8" t="str">
        <x:v>N011</x:v>
      </x:c>
      <x:c r="B19" s="8" t="str">
        <x:v>Плитка и бордюры</x:v>
      </x:c>
      <x:c r="C19" s="8" t="str">
        <x:v>Тротуарная плитка Готика Полигональ, Голд 1, б/ц, ч/п, h=80 мм размером 893x780 мм</x:v>
      </x:c>
      <x:c r="D19" s="8" t="str">
        <x:v>м²</x:v>
      </x:c>
      <x:c r="E19" s="11" t="n">
        <x:f>SUMIFS('Строки сметы'!$H$9:$H$267,'Строки сметы'!$A$9:$A$267,$A19)</x:f>
        <x:v>920.907</x:v>
      </x:c>
      <x:c r="F19" s="10" t="n">
        <x:f>COUNTIFS('Строки сметы'!$A$9:$A$267,$A19)</x:f>
        <x:v>1</x:v>
      </x:c>
      <x:c r="G19" s="10" t="n">
        <x:f>SUMIFS('Строки сметы'!$K$9:$K$267,'Строки сметы'!$A$9:$A$267,$A19)</x:f>
        <x:v>0</x:v>
      </x:c>
      <x:c r="H19" s="10" t="n">
        <x:f>SUMIFS('Строки сметы'!$J$9:$J$267,'Строки сметы'!$A$9:$A$267,$A19)</x:f>
        <x:v>1</x:v>
      </x:c>
      <x:c r="I19" s="8" t="str">
        <x:f>IF(H19=0,"Цена есть",IF(G19&gt;0,"Частично покрыто","Нужно найти"))</x:f>
        <x:v>Нужно найти</x:v>
      </x:c>
      <x:c r="J19" s="8" t="str">
        <x:v>Найти сопоставимую цену</x:v>
      </x:c>
      <x:c r="K19" s="8" t="str"/>
      <x:c r="L19" s="8" t="str">
        <x:v>Производитель Готика и его дилеры, заводы ЖБИ</x:v>
      </x:c>
    </x:row>
    <x:row r="20" ht="39" customHeight="1">
      <x:c r="A20" s="13" t="str">
        <x:v>N012</x:v>
      </x:c>
      <x:c r="B20" s="13" t="str">
        <x:v>Плитка и бордюры</x:v>
      </x:c>
      <x:c r="C20" s="13" t="str">
        <x:v>Тротуарная плитка Готика Полигональ, Голд 16, б/ц, ч/п, h=80 мм размером 893x780 мм</x:v>
      </x:c>
      <x:c r="D20" s="13" t="str">
        <x:v>м²</x:v>
      </x:c>
      <x:c r="E20" s="15" t="n">
        <x:f>SUMIFS('Строки сметы'!$H$9:$H$267,'Строки сметы'!$A$9:$A$267,$A20)</x:f>
        <x:v>920.907</x:v>
      </x:c>
      <x:c r="F20" s="14" t="n">
        <x:f>COUNTIFS('Строки сметы'!$A$9:$A$267,$A20)</x:f>
        <x:v>1</x:v>
      </x:c>
      <x:c r="G20" s="14" t="n">
        <x:f>SUMIFS('Строки сметы'!$K$9:$K$267,'Строки сметы'!$A$9:$A$267,$A20)</x:f>
        <x:v>0</x:v>
      </x:c>
      <x:c r="H20" s="14" t="n">
        <x:f>SUMIFS('Строки сметы'!$J$9:$J$267,'Строки сметы'!$A$9:$A$267,$A20)</x:f>
        <x:v>1</x:v>
      </x:c>
      <x:c r="I20" s="13" t="str">
        <x:f>IF(H20=0,"Цена есть",IF(G20&gt;0,"Частично покрыто","Нужно найти"))</x:f>
        <x:v>Нужно найти</x:v>
      </x:c>
      <x:c r="J20" s="13" t="str">
        <x:v>Найти сопоставимую цену</x:v>
      </x:c>
      <x:c r="K20" s="13" t="str"/>
      <x:c r="L20" s="13" t="str">
        <x:v>Производитель Готика и его дилеры, заводы ЖБИ</x:v>
      </x:c>
    </x:row>
    <x:row r="21" ht="39" customHeight="1">
      <x:c r="A21" s="8" t="str">
        <x:v>N013</x:v>
      </x:c>
      <x:c r="B21" s="8" t="str">
        <x:v>Плитка и бордюры</x:v>
      </x:c>
      <x:c r="C21" s="8" t="str">
        <x:v>Тротуарная плитка Готика Полигональ, Голд 18, с/ц ч/п h=80 мм размером 893x780 мм</x:v>
      </x:c>
      <x:c r="D21" s="8" t="str">
        <x:v>м²</x:v>
      </x:c>
      <x:c r="E21" s="11" t="n">
        <x:f>SUMIFS('Строки сметы'!$H$9:$H$267,'Строки сметы'!$A$9:$A$267,$A21)</x:f>
        <x:v>920.907</x:v>
      </x:c>
      <x:c r="F21" s="10" t="n">
        <x:f>COUNTIFS('Строки сметы'!$A$9:$A$267,$A21)</x:f>
        <x:v>1</x:v>
      </x:c>
      <x:c r="G21" s="10" t="n">
        <x:f>SUMIFS('Строки сметы'!$K$9:$K$267,'Строки сметы'!$A$9:$A$267,$A21)</x:f>
        <x:v>0</x:v>
      </x:c>
      <x:c r="H21" s="10" t="n">
        <x:f>SUMIFS('Строки сметы'!$J$9:$J$267,'Строки сметы'!$A$9:$A$267,$A21)</x:f>
        <x:v>1</x:v>
      </x:c>
      <x:c r="I21" s="8" t="str">
        <x:f>IF(H21=0,"Цена есть",IF(G21&gt;0,"Частично покрыто","Нужно найти"))</x:f>
        <x:v>Нужно найти</x:v>
      </x:c>
      <x:c r="J21" s="8" t="str">
        <x:v>Найти сопоставимую цену</x:v>
      </x:c>
      <x:c r="K21" s="8" t="str"/>
      <x:c r="L21" s="8" t="str">
        <x:v>Производитель Готика и его дилеры, заводы ЖБИ</x:v>
      </x:c>
    </x:row>
    <x:row r="22" ht="39" customHeight="1">
      <x:c r="A22" s="13" t="str">
        <x:v>N014</x:v>
      </x:c>
      <x:c r="B22" s="13" t="str">
        <x:v>Асфальт и дорожная разметка</x:v>
      </x:c>
      <x:c r="C22" s="13" t="str">
        <x:v>Стеклошарики световозвращающие для посыпки разметочных красок, фракция 100-600 мкм</x:v>
      </x:c>
      <x:c r="D22" s="13" t="str">
        <x:v>т</x:v>
      </x:c>
      <x:c r="E22" s="15" t="n">
        <x:f>SUMIFS('Строки сметы'!$H$9:$H$267,'Строки сметы'!$A$9:$A$267,$A22)</x:f>
        <x:v>0.039472999999999994</x:v>
      </x:c>
      <x:c r="F22" s="14" t="n">
        <x:f>COUNTIFS('Строки сметы'!$A$9:$A$267,$A22)</x:f>
        <x:v>3</x:v>
      </x:c>
      <x:c r="G22" s="14" t="n">
        <x:f>SUMIFS('Строки сметы'!$K$9:$K$267,'Строки сметы'!$A$9:$A$267,$A22)</x:f>
        <x:v>0</x:v>
      </x:c>
      <x:c r="H22" s="14" t="n">
        <x:f>SUMIFS('Строки сметы'!$J$9:$J$267,'Строки сметы'!$A$9:$A$267,$A22)</x:f>
        <x:v>3</x:v>
      </x:c>
      <x:c r="I22" s="13" t="str">
        <x:f>IF(H22=0,"Цена есть",IF(G22&gt;0,"Частично покрыто","Нужно найти"))</x:f>
        <x:v>Нужно найти</x:v>
      </x:c>
      <x:c r="J22" s="13" t="str">
        <x:v>Найти сопоставимую цену</x:v>
      </x:c>
      <x:c r="K22" s="13" t="str"/>
      <x:c r="L22" s="13" t="str">
        <x:v>Асфальтобетонные заводы, поставщики дорожных материалов</x:v>
      </x:c>
    </x:row>
    <x:row r="23" ht="54" customHeight="1">
      <x:c r="A23" s="8" t="str">
        <x:v>N015</x:v>
      </x:c>
      <x:c r="B23" s="8" t="str">
        <x:v>Асфальт и дорожная разметка</x:v>
      </x:c>
      <x:c r="C23" s="8" t="str">
        <x:v>Краска для дорожной разметки автомобильных дорог, суспензия пигментов и наполнителей в акриловом сополимере с модифицирующими добавками, цвет белый</x:v>
      </x:c>
      <x:c r="D23" s="8" t="str">
        <x:v>кг</x:v>
      </x:c>
      <x:c r="E23" s="11" t="n">
        <x:f>SUMIFS('Строки сметы'!$H$9:$H$267,'Строки сметы'!$A$9:$A$267,$A23)</x:f>
        <x:v>61.19758000000001</x:v>
      </x:c>
      <x:c r="F23" s="10" t="n">
        <x:f>COUNTIFS('Строки сметы'!$A$9:$A$267,$A23)</x:f>
        <x:v>3</x:v>
      </x:c>
      <x:c r="G23" s="10" t="n">
        <x:f>SUMIFS('Строки сметы'!$K$9:$K$267,'Строки сметы'!$A$9:$A$267,$A23)</x:f>
        <x:v>2</x:v>
      </x:c>
      <x:c r="H23" s="10" t="n">
        <x:f>SUMIFS('Строки сметы'!$J$9:$J$267,'Строки сметы'!$A$9:$A$267,$A23)</x:f>
        <x:v>1</x:v>
      </x:c>
      <x:c r="I23" s="8" t="str">
        <x:f>IF(H23=0,"Цена есть",IF(G23&gt;0,"Частично покрыто","Нужно найти"))</x:f>
        <x:v>Частично покрыто</x:v>
      </x:c>
      <x:c r="J23" s="8" t="str">
        <x:v>Найти сопоставимую цену</x:v>
      </x:c>
      <x:c r="K23" s="8" t="str"/>
      <x:c r="L23" s="8" t="str">
        <x:v>Асфальтобетонные заводы, поставщики дорожных материалов</x:v>
      </x:c>
    </x:row>
    <x:row r="24" ht="39" customHeight="1">
      <x:c r="A24" s="13" t="str">
        <x:v>N016</x:v>
      </x:c>
      <x:c r="B24" s="13" t="str">
        <x:v>Асфальт и дорожная разметка</x:v>
      </x:c>
      <x:c r="C24" s="13" t="str">
        <x:v>Плотная мелкозернистая асфальтобетонная смесь марка III тип Д с красным пигментом</x:v>
      </x:c>
      <x:c r="D24" s="13" t="str">
        <x:v>т</x:v>
      </x:c>
      <x:c r="E24" s="15" t="n">
        <x:f>SUMIFS('Строки сметы'!$H$9:$H$267,'Строки сметы'!$A$9:$A$267,$A24)</x:f>
        <x:v>128.4</x:v>
      </x:c>
      <x:c r="F24" s="14" t="n">
        <x:f>COUNTIFS('Строки сметы'!$A$9:$A$267,$A24)</x:f>
        <x:v>1</x:v>
      </x:c>
      <x:c r="G24" s="14" t="n">
        <x:f>SUMIFS('Строки сметы'!$K$9:$K$267,'Строки сметы'!$A$9:$A$267,$A24)</x:f>
        <x:v>0</x:v>
      </x:c>
      <x:c r="H24" s="14" t="n">
        <x:f>SUMIFS('Строки сметы'!$J$9:$J$267,'Строки сметы'!$A$9:$A$267,$A24)</x:f>
        <x:v>1</x:v>
      </x:c>
      <x:c r="I24" s="13" t="str">
        <x:f>IF(H24=0,"Цена есть",IF(G24&gt;0,"Частично покрыто","Нужно найти"))</x:f>
        <x:v>Нужно найти</x:v>
      </x:c>
      <x:c r="J24" s="13" t="str">
        <x:v>Найти сопоставимую цену</x:v>
      </x:c>
      <x:c r="K24" s="13" t="str"/>
      <x:c r="L24" s="13" t="str">
        <x:v>Асфальтобетонные заводы, поставщики дорожных материалов</x:v>
      </x:c>
    </x:row>
    <x:row r="25" ht="39" customHeight="1">
      <x:c r="A25" s="8" t="str">
        <x:v>N017</x:v>
      </x:c>
      <x:c r="B25" s="8" t="str">
        <x:v>Асфальт и дорожная разметка</x:v>
      </x:c>
      <x:c r="C25" s="8" t="str">
        <x:v>Эмульсия битумно-дорожная</x:v>
      </x:c>
      <x:c r="D25" s="8" t="str">
        <x:v>т</x:v>
      </x:c>
      <x:c r="E25" s="11" t="n">
        <x:f>SUMIFS('Строки сметы'!$H$9:$H$267,'Строки сметы'!$A$9:$A$267,$A25)</x:f>
        <x:v>0.7163975</x:v>
      </x:c>
      <x:c r="F25" s="10" t="n">
        <x:f>COUNTIFS('Строки сметы'!$A$9:$A$267,$A25)</x:f>
        <x:v>1</x:v>
      </x:c>
      <x:c r="G25" s="10" t="n">
        <x:f>SUMIFS('Строки сметы'!$K$9:$K$267,'Строки сметы'!$A$9:$A$267,$A25)</x:f>
        <x:v>1</x:v>
      </x:c>
      <x:c r="H25" s="10" t="n">
        <x:f>SUMIFS('Строки сметы'!$J$9:$J$267,'Строки сметы'!$A$9:$A$267,$A25)</x:f>
        <x:v>0</x:v>
      </x:c>
      <x:c r="I25" s="8" t="str">
        <x:f>IF(H25=0,"Цена есть",IF(G25&gt;0,"Частично покрыто","Нужно найти"))</x:f>
        <x:v>Цена есть</x:v>
      </x:c>
      <x:c r="J25" s="8" t="str">
        <x:v>Сохранять актуальность найденной цены</x:v>
      </x:c>
      <x:c r="K25" s="8" t="str"/>
      <x:c r="L25" s="8" t="str">
        <x:v>Асфальтобетонные заводы, поставщики дорожных материалов</x:v>
      </x:c>
    </x:row>
    <x:row r="26" ht="54" customHeight="1">
      <x:c r="A26" s="13" t="str">
        <x:v>N018</x:v>
      </x:c>
      <x:c r="B26" s="13" t="str">
        <x:v>Геоматериалы и газонные семена</x:v>
      </x:c>
      <x:c r="C26" s="13" t="str">
        <x:v>Георешетка нетканая композитная синтетическая, прочность при растяжении 80/15 кН/м - Георешетка объемная из полиэтиленовых лент, размеры ячейки 210х210 мм, высота ячейки 150 мм</x:v>
      </x:c>
      <x:c r="D26" s="13" t="str">
        <x:v>м²</x:v>
      </x:c>
      <x:c r="E26" s="15" t="n">
        <x:f>SUMIFS('Строки сметы'!$H$9:$H$267,'Строки сметы'!$A$9:$A$267,$A26)</x:f>
        <x:v>496.95488</x:v>
      </x:c>
      <x:c r="F26" s="14" t="n">
        <x:f>COUNTIFS('Строки сметы'!$A$9:$A$267,$A26)</x:f>
        <x:v>1</x:v>
      </x:c>
      <x:c r="G26" s="14" t="n">
        <x:f>SUMIFS('Строки сметы'!$K$9:$K$267,'Строки сметы'!$A$9:$A$267,$A26)</x:f>
        <x:v>0</x:v>
      </x:c>
      <x:c r="H26" s="14" t="n">
        <x:f>SUMIFS('Строки сметы'!$J$9:$J$267,'Строки сметы'!$A$9:$A$267,$A26)</x:f>
        <x:v>1</x:v>
      </x:c>
      <x:c r="I26" s="13" t="str">
        <x:f>IF(H26=0,"Цена есть",IF(G26&gt;0,"Частично покрыто","Нужно найти"))</x:f>
        <x:v>Нужно найти</x:v>
      </x:c>
      <x:c r="J26" s="13" t="str">
        <x:v>Проверить исходную спецификацию, затем искать цену</x:v>
      </x:c>
      <x:c r="K26" s="13" t="str">
        <x:v>В одной строке плоская композитная георешётка 80/15 кН/м и объёмная ПЭ 210×210×150 мм. Уточнить нужное изделие.</x:v>
      </x:c>
      <x:c r="L26" s="13" t="str">
        <x:v>Поставщики геосинтетики и семян</x:v>
      </x:c>
    </x:row>
    <x:row r="27" ht="39" customHeight="1">
      <x:c r="A27" s="8" t="str">
        <x:v>N019</x:v>
      </x:c>
      <x:c r="B27" s="8" t="str">
        <x:v>Геоматериалы и газонные семена</x:v>
      </x:c>
      <x:c r="C27" s="8" t="str">
        <x:v>Геополотно нетканое полиэфирное, иглопробивное, поверхностная плотность 200 г/м2</x:v>
      </x:c>
      <x:c r="D27" s="8" t="str">
        <x:v>м²</x:v>
      </x:c>
      <x:c r="E27" s="11" t="n">
        <x:f>SUMIFS('Строки сметы'!$H$9:$H$267,'Строки сметы'!$A$9:$A$267,$A27)</x:f>
        <x:v>7954.584</x:v>
      </x:c>
      <x:c r="F27" s="10" t="n">
        <x:f>COUNTIFS('Строки сметы'!$A$9:$A$267,$A27)</x:f>
        <x:v>3</x:v>
      </x:c>
      <x:c r="G27" s="10" t="n">
        <x:f>SUMIFS('Строки сметы'!$K$9:$K$267,'Строки сметы'!$A$9:$A$267,$A27)</x:f>
        <x:v>3</x:v>
      </x:c>
      <x:c r="H27" s="10" t="n">
        <x:f>SUMIFS('Строки сметы'!$J$9:$J$267,'Строки сметы'!$A$9:$A$267,$A27)</x:f>
        <x:v>0</x:v>
      </x:c>
      <x:c r="I27" s="8" t="str">
        <x:f>IF(H27=0,"Цена есть",IF(G27&gt;0,"Частично покрыто","Нужно найти"))</x:f>
        <x:v>Цена есть</x:v>
      </x:c>
      <x:c r="J27" s="8" t="str">
        <x:v>Сохранять актуальность найденной цены</x:v>
      </x:c>
      <x:c r="K27" s="8" t="str"/>
      <x:c r="L27" s="8" t="str">
        <x:v>Поставщики геосинтетики и семян</x:v>
      </x:c>
    </x:row>
    <x:row r="28" ht="39" customHeight="1">
      <x:c r="A28" s="13" t="str">
        <x:v>N020</x:v>
      </x:c>
      <x:c r="B28" s="13" t="str">
        <x:v>Геоматериалы и газонные семена</x:v>
      </x:c>
      <x:c r="C28" s="13" t="str">
        <x:v>Семена газонной травы, травосмесь «Универсальная»</x:v>
      </x:c>
      <x:c r="D28" s="13" t="str">
        <x:v>кг</x:v>
      </x:c>
      <x:c r="E28" s="15" t="n">
        <x:f>SUMIFS('Строки сметы'!$H$9:$H$267,'Строки сметы'!$A$9:$A$267,$A28)</x:f>
        <x:v>112.068</x:v>
      </x:c>
      <x:c r="F28" s="14" t="n">
        <x:f>COUNTIFS('Строки сметы'!$A$9:$A$267,$A28)</x:f>
        <x:v>2</x:v>
      </x:c>
      <x:c r="G28" s="14" t="n">
        <x:f>SUMIFS('Строки сметы'!$K$9:$K$267,'Строки сметы'!$A$9:$A$267,$A28)</x:f>
        <x:v>2</x:v>
      </x:c>
      <x:c r="H28" s="14" t="n">
        <x:f>SUMIFS('Строки сметы'!$J$9:$J$267,'Строки сметы'!$A$9:$A$267,$A28)</x:f>
        <x:v>0</x:v>
      </x:c>
      <x:c r="I28" s="13" t="str">
        <x:f>IF(H28=0,"Цена есть",IF(G28&gt;0,"Частично покрыто","Нужно найти"))</x:f>
        <x:v>Цена есть</x:v>
      </x:c>
      <x:c r="J28" s="13" t="str">
        <x:v>Сохранять актуальность найденной цены</x:v>
      </x:c>
      <x:c r="K28" s="13" t="str"/>
      <x:c r="L28" s="13" t="str">
        <x:v>Поставщики геосинтетики и семян</x:v>
      </x:c>
    </x:row>
    <x:row r="29" ht="54" customHeight="1">
      <x:c r="A29" s="8" t="str">
        <x:v>N021</x:v>
      </x:c>
      <x:c r="B29" s="8" t="str">
        <x:v>Металлопрокат</x:v>
      </x:c>
      <x:c r="C29" s="8" t="str">
        <x:v>Прокат стальной горячекатаный круглый, марки стали Ст3сп, Ст3пс, диаметр 14-50 мм</x:v>
      </x:c>
      <x:c r="D29" s="8" t="str">
        <x:v>т</x:v>
      </x:c>
      <x:c r="E29" s="11" t="n">
        <x:f>SUMIFS('Строки сметы'!$H$9:$H$267,'Строки сметы'!$A$9:$A$267,$A29)</x:f>
        <x:v>0.0711</x:v>
      </x:c>
      <x:c r="F29" s="10" t="n">
        <x:f>COUNTIFS('Строки сметы'!$A$9:$A$267,$A29)</x:f>
        <x:v>2</x:v>
      </x:c>
      <x:c r="G29" s="10" t="n">
        <x:f>SUMIFS('Строки сметы'!$K$9:$K$267,'Строки сметы'!$A$9:$A$267,$A29)</x:f>
        <x:v>0</x:v>
      </x:c>
      <x:c r="H29" s="10" t="n">
        <x:f>SUMIFS('Строки сметы'!$J$9:$J$267,'Строки сметы'!$A$9:$A$267,$A29)</x:f>
        <x:v>2</x:v>
      </x:c>
      <x:c r="I29" s="8" t="str">
        <x:f>IF(H29=0,"Цена есть",IF(G29&gt;0,"Частично покрыто","Нужно найти"))</x:f>
        <x:v>Нужно найти</x:v>
      </x:c>
      <x:c r="J29" s="8" t="str">
        <x:v>Найти сопоставимую цену</x:v>
      </x:c>
      <x:c r="K29" s="8" t="str">
        <x:v>В ресурсе указан диапазон диаметров. Уточнить точный диаметр по родительской работе и проекту.</x:v>
      </x:c>
      <x:c r="L29" s="8" t="str">
        <x:v>Металлобазы с отгрузкой в Ярославскую область</x:v>
      </x:c>
    </x:row>
    <x:row r="30" ht="39" customHeight="1">
      <x:c r="A30" s="13" t="str">
        <x:v>N022</x:v>
      </x:c>
      <x:c r="B30" s="13" t="str">
        <x:v>Металлопрокат</x:v>
      </x:c>
      <x:c r="C30" s="13" t="str">
        <x:v>Прокат стальной горячекатаный полосовой, марки стали Ст3сп, Ст3пс, размеры 40х4 мм</x:v>
      </x:c>
      <x:c r="D30" s="13" t="str">
        <x:v>т</x:v>
      </x:c>
      <x:c r="E30" s="15" t="n">
        <x:f>SUMIFS('Строки сметы'!$H$9:$H$267,'Строки сметы'!$A$9:$A$267,$A30)</x:f>
        <x:v>0.06905</x:v>
      </x:c>
      <x:c r="F30" s="14" t="n">
        <x:f>COUNTIFS('Строки сметы'!$A$9:$A$267,$A30)</x:f>
        <x:v>2</x:v>
      </x:c>
      <x:c r="G30" s="14" t="n">
        <x:f>SUMIFS('Строки сметы'!$K$9:$K$267,'Строки сметы'!$A$9:$A$267,$A30)</x:f>
        <x:v>0</x:v>
      </x:c>
      <x:c r="H30" s="14" t="n">
        <x:f>SUMIFS('Строки сметы'!$J$9:$J$267,'Строки сметы'!$A$9:$A$267,$A30)</x:f>
        <x:v>2</x:v>
      </x:c>
      <x:c r="I30" s="13" t="str">
        <x:f>IF(H30=0,"Цена есть",IF(G30&gt;0,"Частично покрыто","Нужно найти"))</x:f>
        <x:v>Нужно найти</x:v>
      </x:c>
      <x:c r="J30" s="13" t="str">
        <x:v>Найти сопоставимую цену</x:v>
      </x:c>
      <x:c r="K30" s="13" t="str"/>
      <x:c r="L30" s="13" t="str">
        <x:v>Металлобазы с отгрузкой в Ярославскую область</x:v>
      </x:c>
    </x:row>
    <x:row r="31" ht="39" customHeight="1">
      <x:c r="A31" s="8" t="str">
        <x:v>N023</x:v>
      </x:c>
      <x:c r="B31" s="8" t="str">
        <x:v>Металлопрокат</x:v>
      </x:c>
      <x:c r="C31" s="8" t="str">
        <x:v>Прокат стальной горячекатаный круглый, марки стали Ст3сп, Ст3пс, диаметр 14-50 мм - ф 16 мм (1мп-1,58 кг)</x:v>
      </x:c>
      <x:c r="D31" s="8" t="str">
        <x:v>т</x:v>
      </x:c>
      <x:c r="E31" s="11" t="n">
        <x:f>SUMIFS('Строки сметы'!$H$9:$H$267,'Строки сметы'!$A$9:$A$267,$A31)</x:f>
        <x:v>0.40764</x:v>
      </x:c>
      <x:c r="F31" s="10" t="n">
        <x:f>COUNTIFS('Строки сметы'!$A$9:$A$267,$A31)</x:f>
        <x:v>1</x:v>
      </x:c>
      <x:c r="G31" s="10" t="n">
        <x:f>SUMIFS('Строки сметы'!$K$9:$K$267,'Строки сметы'!$A$9:$A$267,$A31)</x:f>
        <x:v>0</x:v>
      </x:c>
      <x:c r="H31" s="10" t="n">
        <x:f>SUMIFS('Строки сметы'!$J$9:$J$267,'Строки сметы'!$A$9:$A$267,$A31)</x:f>
        <x:v>1</x:v>
      </x:c>
      <x:c r="I31" s="8" t="str">
        <x:f>IF(H31=0,"Цена есть",IF(G31&gt;0,"Частично покрыто","Нужно найти"))</x:f>
        <x:v>Нужно найти</x:v>
      </x:c>
      <x:c r="J31" s="8" t="str">
        <x:v>Найти сопоставимую цену</x:v>
      </x:c>
      <x:c r="K31" s="8" t="str"/>
      <x:c r="L31" s="8" t="str">
        <x:v>Металлобазы с отгрузкой в Ярославскую область</x:v>
      </x:c>
    </x:row>
    <x:row r="32" ht="39" customHeight="1">
      <x:c r="A32" s="13" t="str">
        <x:v>N024</x:v>
      </x:c>
      <x:c r="B32" s="13" t="str">
        <x:v>Металлопрокат</x:v>
      </x:c>
      <x:c r="C32" s="13" t="str">
        <x:v>Прокат стальной горячекатаный круглый, марки стали Ст3сп, Ст3пс, диаметр 5-12 мм - ф12 мм (1мп-0,888 кг)</x:v>
      </x:c>
      <x:c r="D32" s="13" t="str">
        <x:v>т</x:v>
      </x:c>
      <x:c r="E32" s="15" t="n">
        <x:f>SUMIFS('Строки сметы'!$H$9:$H$267,'Строки сметы'!$A$9:$A$267,$A32)</x:f>
        <x:v>0.04582</x:v>
      </x:c>
      <x:c r="F32" s="14" t="n">
        <x:f>COUNTIFS('Строки сметы'!$A$9:$A$267,$A32)</x:f>
        <x:v>1</x:v>
      </x:c>
      <x:c r="G32" s="14" t="n">
        <x:f>SUMIFS('Строки сметы'!$K$9:$K$267,'Строки сметы'!$A$9:$A$267,$A32)</x:f>
        <x:v>0</x:v>
      </x:c>
      <x:c r="H32" s="14" t="n">
        <x:f>SUMIFS('Строки сметы'!$J$9:$J$267,'Строки сметы'!$A$9:$A$267,$A32)</x:f>
        <x:v>1</x:v>
      </x:c>
      <x:c r="I32" s="13" t="str">
        <x:f>IF(H32=0,"Цена есть",IF(G32&gt;0,"Частично покрыто","Нужно найти"))</x:f>
        <x:v>Нужно найти</x:v>
      </x:c>
      <x:c r="J32" s="13" t="str">
        <x:v>Найти сопоставимую цену</x:v>
      </x:c>
      <x:c r="K32" s="13" t="str"/>
      <x:c r="L32" s="13" t="str">
        <x:v>Металлобазы с отгрузкой в Ярославскую область</x:v>
      </x:c>
    </x:row>
    <x:row r="33" ht="39" customHeight="1">
      <x:c r="A33" s="8" t="str">
        <x:v>N025</x:v>
      </x:c>
      <x:c r="B33" s="8" t="str">
        <x:v>Кабели и трубы</x:v>
      </x:c>
      <x:c r="C33" s="8" t="str">
        <x:v>Кабель АВБбШв 4х150 - 0,66/1 кВ</x:v>
      </x:c>
      <x:c r="D33" s="8" t="str">
        <x:v>м</x:v>
      </x:c>
      <x:c r="E33" s="11" t="n">
        <x:f>SUMIFS('Строки сметы'!$H$9:$H$267,'Строки сметы'!$A$9:$A$267,$A33)</x:f>
        <x:v>351.9</x:v>
      </x:c>
      <x:c r="F33" s="10" t="n">
        <x:f>COUNTIFS('Строки сметы'!$A$9:$A$267,$A33)</x:f>
        <x:v>1</x:v>
      </x:c>
      <x:c r="G33" s="10" t="n">
        <x:f>SUMIFS('Строки сметы'!$K$9:$K$267,'Строки сметы'!$A$9:$A$267,$A33)</x:f>
        <x:v>0</x:v>
      </x:c>
      <x:c r="H33" s="10" t="n">
        <x:f>SUMIFS('Строки сметы'!$J$9:$J$267,'Строки сметы'!$A$9:$A$267,$A33)</x:f>
        <x:v>1</x:v>
      </x:c>
      <x:c r="I33" s="8" t="str">
        <x:f>IF(H33=0,"Цена есть",IF(G33&gt;0,"Частично покрыто","Нужно найти"))</x:f>
        <x:v>Нужно найти</x:v>
      </x:c>
      <x:c r="J33" s="8" t="str">
        <x:v>Найти сопоставимую цену</x:v>
      </x:c>
      <x:c r="K33" s="8" t="str"/>
      <x:c r="L33" s="8" t="str">
        <x:v>Кабельные заводы, электротехнические и трубные базы</x:v>
      </x:c>
    </x:row>
    <x:row r="34" ht="39" customHeight="1">
      <x:c r="A34" s="13" t="str">
        <x:v>N026</x:v>
      </x:c>
      <x:c r="B34" s="13" t="str">
        <x:v>Кабели и трубы</x:v>
      </x:c>
      <x:c r="C34" s="13" t="str">
        <x:v>Кабель витая пара F/UTP 4х2х0,51, категория 5e</x:v>
      </x:c>
      <x:c r="D34" s="13" t="str">
        <x:v>м</x:v>
      </x:c>
      <x:c r="E34" s="15" t="n">
        <x:f>SUMIFS('Строки сметы'!$H$9:$H$267,'Строки сметы'!$A$9:$A$267,$A34)</x:f>
        <x:v>1352.52</x:v>
      </x:c>
      <x:c r="F34" s="14" t="n">
        <x:f>COUNTIFS('Строки сметы'!$A$9:$A$267,$A34)</x:f>
        <x:v>1</x:v>
      </x:c>
      <x:c r="G34" s="14" t="n">
        <x:f>SUMIFS('Строки сметы'!$K$9:$K$267,'Строки сметы'!$A$9:$A$267,$A34)</x:f>
        <x:v>0</x:v>
      </x:c>
      <x:c r="H34" s="14" t="n">
        <x:f>SUMIFS('Строки сметы'!$J$9:$J$267,'Строки сметы'!$A$9:$A$267,$A34)</x:f>
        <x:v>1</x:v>
      </x:c>
      <x:c r="I34" s="13" t="str">
        <x:f>IF(H34=0,"Цена есть",IF(G34&gt;0,"Частично покрыто","Нужно найти"))</x:f>
        <x:v>Нужно найти</x:v>
      </x:c>
      <x:c r="J34" s="13" t="str">
        <x:v>Найти сопоставимую цену</x:v>
      </x:c>
      <x:c r="K34" s="13" t="str"/>
      <x:c r="L34" s="13" t="str">
        <x:v>Кабельные заводы, электротехнические и трубные базы</x:v>
      </x:c>
    </x:row>
    <x:row r="35" ht="39" customHeight="1">
      <x:c r="A35" s="8" t="str">
        <x:v>N027</x:v>
      </x:c>
      <x:c r="B35" s="8" t="str">
        <x:v>Кабели и трубы</x:v>
      </x:c>
      <x:c r="C35" s="8" t="str">
        <x:v>Кабель силовой с медными жилами ВВГнг(A)-LS 3х1,5ок(N, PE)-660</x:v>
      </x:c>
      <x:c r="D35" s="8" t="str">
        <x:v>м</x:v>
      </x:c>
      <x:c r="E35" s="11" t="n">
        <x:f>SUMIFS('Строки сметы'!$H$9:$H$267,'Строки сметы'!$A$9:$A$267,$A35)</x:f>
        <x:v>551.8199999999999</x:v>
      </x:c>
      <x:c r="F35" s="10" t="n">
        <x:f>COUNTIFS('Строки сметы'!$A$9:$A$267,$A35)</x:f>
        <x:v>1</x:v>
      </x:c>
      <x:c r="G35" s="10" t="n">
        <x:f>SUMIFS('Строки сметы'!$K$9:$K$267,'Строки сметы'!$A$9:$A$267,$A35)</x:f>
        <x:v>0</x:v>
      </x:c>
      <x:c r="H35" s="10" t="n">
        <x:f>SUMIFS('Строки сметы'!$J$9:$J$267,'Строки сметы'!$A$9:$A$267,$A35)</x:f>
        <x:v>1</x:v>
      </x:c>
      <x:c r="I35" s="8" t="str">
        <x:f>IF(H35=0,"Цена есть",IF(G35&gt;0,"Частично покрыто","Нужно найти"))</x:f>
        <x:v>Нужно найти</x:v>
      </x:c>
      <x:c r="J35" s="8" t="str">
        <x:v>Найти сопоставимую цену</x:v>
      </x:c>
      <x:c r="K35" s="8" t="str"/>
      <x:c r="L35" s="8" t="str">
        <x:v>Кабельные заводы, электротехнические и трубные базы</x:v>
      </x:c>
    </x:row>
    <x:row r="36" ht="39" customHeight="1">
      <x:c r="A36" s="13" t="str">
        <x:v>N028</x:v>
      </x:c>
      <x:c r="B36" s="13" t="str">
        <x:v>Кабели и трубы</x:v>
      </x:c>
      <x:c r="C36" s="13" t="str">
        <x:v>Оптический кабель ОГЦ-4А-7</x:v>
      </x:c>
      <x:c r="D36" s="13" t="str">
        <x:v>м</x:v>
      </x:c>
      <x:c r="E36" s="15" t="n">
        <x:f>SUMIFS('Строки сметы'!$H$9:$H$267,'Строки сметы'!$A$9:$A$267,$A36)</x:f>
        <x:v>575.28</x:v>
      </x:c>
      <x:c r="F36" s="14" t="n">
        <x:f>COUNTIFS('Строки сметы'!$A$9:$A$267,$A36)</x:f>
        <x:v>1</x:v>
      </x:c>
      <x:c r="G36" s="14" t="n">
        <x:f>SUMIFS('Строки сметы'!$K$9:$K$267,'Строки сметы'!$A$9:$A$267,$A36)</x:f>
        <x:v>0</x:v>
      </x:c>
      <x:c r="H36" s="14" t="n">
        <x:f>SUMIFS('Строки сметы'!$J$9:$J$267,'Строки сметы'!$A$9:$A$267,$A36)</x:f>
        <x:v>1</x:v>
      </x:c>
      <x:c r="I36" s="13" t="str">
        <x:f>IF(H36=0,"Цена есть",IF(G36&gt;0,"Частично покрыто","Нужно найти"))</x:f>
        <x:v>Нужно найти</x:v>
      </x:c>
      <x:c r="J36" s="13" t="str">
        <x:v>Найти сопоставимую цену</x:v>
      </x:c>
      <x:c r="K36" s="13" t="str"/>
      <x:c r="L36" s="13" t="str">
        <x:v>Кабельные заводы, электротехнические и трубные базы</x:v>
      </x:c>
    </x:row>
    <x:row r="37" ht="39" customHeight="1">
      <x:c r="A37" s="8" t="str">
        <x:v>N029</x:v>
      </x:c>
      <x:c r="B37" s="8" t="str">
        <x:v>Кабели и трубы</x:v>
      </x:c>
      <x:c r="C37" s="8" t="str">
        <x:v>Труба EKF PROxima гладкая, жесткая, ПНД, черная, ⌀40 мм, 100м, SQ tpndg-40</x:v>
      </x:c>
      <x:c r="D37" s="8" t="str">
        <x:v>м</x:v>
      </x:c>
      <x:c r="E37" s="11" t="n">
        <x:f>SUMIFS('Строки сметы'!$H$9:$H$267,'Строки сметы'!$A$9:$A$267,$A37)</x:f>
        <x:v>496</x:v>
      </x:c>
      <x:c r="F37" s="10" t="n">
        <x:f>COUNTIFS('Строки сметы'!$A$9:$A$267,$A37)</x:f>
        <x:v>1</x:v>
      </x:c>
      <x:c r="G37" s="10" t="n">
        <x:f>SUMIFS('Строки сметы'!$K$9:$K$267,'Строки сметы'!$A$9:$A$267,$A37)</x:f>
        <x:v>0</x:v>
      </x:c>
      <x:c r="H37" s="10" t="n">
        <x:f>SUMIFS('Строки сметы'!$J$9:$J$267,'Строки сметы'!$A$9:$A$267,$A37)</x:f>
        <x:v>1</x:v>
      </x:c>
      <x:c r="I37" s="8" t="str">
        <x:f>IF(H37=0,"Цена есть",IF(G37&gt;0,"Частично покрыто","Нужно найти"))</x:f>
        <x:v>Нужно найти</x:v>
      </x:c>
      <x:c r="J37" s="8" t="str">
        <x:v>Найти сопоставимую цену</x:v>
      </x:c>
      <x:c r="K37" s="8" t="str"/>
      <x:c r="L37" s="8" t="str">
        <x:v>Кабельные заводы, электротехнические и трубные базы</x:v>
      </x:c>
    </x:row>
    <x:row r="38" ht="39" customHeight="1">
      <x:c r="A38" s="13" t="str">
        <x:v>N030</x:v>
      </x:c>
      <x:c r="B38" s="13" t="str">
        <x:v>Кабели и трубы</x:v>
      </x:c>
      <x:c r="C38" s="13" t="str">
        <x:v>Труба EKF гладкая, жесткая, ПНД, черная, ⌀25 мм, 100м, tpndg-25</x:v>
      </x:c>
      <x:c r="D38" s="13" t="str">
        <x:v>м</x:v>
      </x:c>
      <x:c r="E38" s="15" t="n">
        <x:f>SUMIFS('Строки сметы'!$H$9:$H$267,'Строки сметы'!$A$9:$A$267,$A38)</x:f>
        <x:v>1158</x:v>
      </x:c>
      <x:c r="F38" s="14" t="n">
        <x:f>COUNTIFS('Строки сметы'!$A$9:$A$267,$A38)</x:f>
        <x:v>1</x:v>
      </x:c>
      <x:c r="G38" s="14" t="n">
        <x:f>SUMIFS('Строки сметы'!$K$9:$K$267,'Строки сметы'!$A$9:$A$267,$A38)</x:f>
        <x:v>0</x:v>
      </x:c>
      <x:c r="H38" s="14" t="n">
        <x:f>SUMIFS('Строки сметы'!$J$9:$J$267,'Строки сметы'!$A$9:$A$267,$A38)</x:f>
        <x:v>1</x:v>
      </x:c>
      <x:c r="I38" s="13" t="str">
        <x:f>IF(H38=0,"Цена есть",IF(G38&gt;0,"Частично покрыто","Нужно найти"))</x:f>
        <x:v>Нужно найти</x:v>
      </x:c>
      <x:c r="J38" s="13" t="str">
        <x:v>Найти сопоставимую цену</x:v>
      </x:c>
      <x:c r="K38" s="13" t="str"/>
      <x:c r="L38" s="13" t="str">
        <x:v>Кабельные заводы, электротехнические и трубные базы</x:v>
      </x:c>
    </x:row>
    <x:row r="39" ht="54" customHeight="1">
      <x:c r="A39" s="8" t="str">
        <x:v>N031</x:v>
      </x:c>
      <x:c r="B39" s="8" t="str">
        <x:v>Кабели и трубы</x:v>
      </x:c>
      <x:c r="C39" s="8" t="str">
        <x:v>Трубы напорные полиэтиленовые, кроме газопроводных ПЭ100, для транспортировки воды, стандартное размерное отношение SDR21, номинальный наружный диаметр 110 мм, толщина стенки 5,3 мм</x:v>
      </x:c>
      <x:c r="D39" s="8" t="str">
        <x:v>м</x:v>
      </x:c>
      <x:c r="E39" s="11" t="n">
        <x:f>SUMIFS('Строки сметы'!$H$9:$H$267,'Строки сметы'!$A$9:$A$267,$A39)</x:f>
        <x:v>690</x:v>
      </x:c>
      <x:c r="F39" s="10" t="n">
        <x:f>COUNTIFS('Строки сметы'!$A$9:$A$267,$A39)</x:f>
        <x:v>1</x:v>
      </x:c>
      <x:c r="G39" s="10" t="n">
        <x:f>SUMIFS('Строки сметы'!$K$9:$K$267,'Строки сметы'!$A$9:$A$267,$A39)</x:f>
        <x:v>0</x:v>
      </x:c>
      <x:c r="H39" s="10" t="n">
        <x:f>SUMIFS('Строки сметы'!$J$9:$J$267,'Строки сметы'!$A$9:$A$267,$A39)</x:f>
        <x:v>1</x:v>
      </x:c>
      <x:c r="I39" s="8" t="str">
        <x:f>IF(H39=0,"Цена есть",IF(G39&gt;0,"Частично покрыто","Нужно найти"))</x:f>
        <x:v>Нужно найти</x:v>
      </x:c>
      <x:c r="J39" s="8" t="str">
        <x:v>Найти сопоставимую цену</x:v>
      </x:c>
      <x:c r="K39" s="8" t="str"/>
      <x:c r="L39" s="8" t="str">
        <x:v>Кабельные заводы, электротехнические и трубные базы</x:v>
      </x:c>
    </x:row>
    <x:row r="40" ht="39" customHeight="1">
      <x:c r="A40" s="13" t="str">
        <x:v>N032</x:v>
      </x:c>
      <x:c r="B40" s="13" t="str">
        <x:v>Кабели и трубы</x:v>
      </x:c>
      <x:c r="C40" s="13" t="str">
        <x:v>Гладкая жесткая труба EKF ПНД, черная ⌀50 мм 100 м PROxima tpndg-50</x:v>
      </x:c>
      <x:c r="D40" s="13" t="str">
        <x:v>м</x:v>
      </x:c>
      <x:c r="E40" s="15" t="n">
        <x:f>SUMIFS('Строки сметы'!$H$9:$H$267,'Строки сметы'!$A$9:$A$267,$A40)</x:f>
        <x:v>1174</x:v>
      </x:c>
      <x:c r="F40" s="14" t="n">
        <x:f>COUNTIFS('Строки сметы'!$A$9:$A$267,$A40)</x:f>
        <x:v>2</x:v>
      </x:c>
      <x:c r="G40" s="14" t="n">
        <x:f>SUMIFS('Строки сметы'!$K$9:$K$267,'Строки сметы'!$A$9:$A$267,$A40)</x:f>
        <x:v>2</x:v>
      </x:c>
      <x:c r="H40" s="14" t="n">
        <x:f>SUMIFS('Строки сметы'!$J$9:$J$267,'Строки сметы'!$A$9:$A$267,$A40)</x:f>
        <x:v>0</x:v>
      </x:c>
      <x:c r="I40" s="13" t="str">
        <x:f>IF(H40=0,"Цена есть",IF(G40&gt;0,"Частично покрыто","Нужно найти"))</x:f>
        <x:v>Цена есть</x:v>
      </x:c>
      <x:c r="J40" s="13" t="str">
        <x:v>Сохранять актуальность найденной цены</x:v>
      </x:c>
      <x:c r="K40" s="13" t="str"/>
      <x:c r="L40" s="13" t="str">
        <x:v>Кабельные заводы, электротехнические и трубные базы</x:v>
      </x:c>
    </x:row>
    <x:row r="41" ht="39" customHeight="1">
      <x:c r="A41" s="8" t="str">
        <x:v>N033</x:v>
      </x:c>
      <x:c r="B41" s="8" t="str">
        <x:v>Кабели и трубы</x:v>
      </x:c>
      <x:c r="C41" s="8" t="str">
        <x:v>Кабель силовой с алюминиевыми жилами АВБШв 4х16ок(N)-660</x:v>
      </x:c>
      <x:c r="D41" s="8" t="str">
        <x:v>м</x:v>
      </x:c>
      <x:c r="E41" s="11" t="n">
        <x:f>SUMIFS('Строки сметы'!$H$9:$H$267,'Строки сметы'!$A$9:$A$267,$A41)</x:f>
        <x:v>796.62</x:v>
      </x:c>
      <x:c r="F41" s="10" t="n">
        <x:f>COUNTIFS('Строки сметы'!$A$9:$A$267,$A41)</x:f>
        <x:v>1</x:v>
      </x:c>
      <x:c r="G41" s="10" t="n">
        <x:f>SUMIFS('Строки сметы'!$K$9:$K$267,'Строки сметы'!$A$9:$A$267,$A41)</x:f>
        <x:v>1</x:v>
      </x:c>
      <x:c r="H41" s="10" t="n">
        <x:f>SUMIFS('Строки сметы'!$J$9:$J$267,'Строки сметы'!$A$9:$A$267,$A41)</x:f>
        <x:v>0</x:v>
      </x:c>
      <x:c r="I41" s="8" t="str">
        <x:f>IF(H41=0,"Цена есть",IF(G41&gt;0,"Частично покрыто","Нужно найти"))</x:f>
        <x:v>Цена есть</x:v>
      </x:c>
      <x:c r="J41" s="8" t="str">
        <x:v>Сохранять актуальность найденной цены</x:v>
      </x:c>
      <x:c r="K41" s="8" t="str"/>
      <x:c r="L41" s="8" t="str">
        <x:v>Кабельные заводы, электротехнические и трубные базы</x:v>
      </x:c>
    </x:row>
    <x:row r="42" ht="39" customHeight="1">
      <x:c r="A42" s="13" t="str">
        <x:v>N034</x:v>
      </x:c>
      <x:c r="B42" s="13" t="str">
        <x:v>Кабели и трубы</x:v>
      </x:c>
      <x:c r="C42" s="13" t="str">
        <x:v>Кабель силовой с алюминиевыми жилами АВБШв 4х50ок(N)-660</x:v>
      </x:c>
      <x:c r="D42" s="13" t="str">
        <x:v>м</x:v>
      </x:c>
      <x:c r="E42" s="15" t="n">
        <x:f>SUMIFS('Строки сметы'!$H$9:$H$267,'Строки сметы'!$A$9:$A$267,$A42)</x:f>
        <x:v>351.9</x:v>
      </x:c>
      <x:c r="F42" s="14" t="n">
        <x:f>COUNTIFS('Строки сметы'!$A$9:$A$267,$A42)</x:f>
        <x:v>1</x:v>
      </x:c>
      <x:c r="G42" s="14" t="n">
        <x:f>SUMIFS('Строки сметы'!$K$9:$K$267,'Строки сметы'!$A$9:$A$267,$A42)</x:f>
        <x:v>1</x:v>
      </x:c>
      <x:c r="H42" s="14" t="n">
        <x:f>SUMIFS('Строки сметы'!$J$9:$J$267,'Строки сметы'!$A$9:$A$267,$A42)</x:f>
        <x:v>0</x:v>
      </x:c>
      <x:c r="I42" s="13" t="str">
        <x:f>IF(H42=0,"Цена есть",IF(G42&gt;0,"Частично покрыто","Нужно найти"))</x:f>
        <x:v>Цена есть</x:v>
      </x:c>
      <x:c r="J42" s="13" t="str">
        <x:v>Сохранять актуальность найденной цены</x:v>
      </x:c>
      <x:c r="K42" s="13" t="str"/>
      <x:c r="L42" s="13" t="str">
        <x:v>Кабельные заводы, электротехнические и трубные базы</x:v>
      </x:c>
    </x:row>
    <x:row r="43" ht="39" customHeight="1">
      <x:c r="A43" s="8" t="str">
        <x:v>N035</x:v>
      </x:c>
      <x:c r="B43" s="8" t="str">
        <x:v>Кабели и трубы</x:v>
      </x:c>
      <x:c r="C43" s="8" t="str">
        <x:v>Кабель силовой с алюминиевыми жилами АВБШв 5х16ок(N, PE)-660</x:v>
      </x:c>
      <x:c r="D43" s="8" t="str">
        <x:v>м</x:v>
      </x:c>
      <x:c r="E43" s="11" t="n">
        <x:f>SUMIFS('Строки сметы'!$H$9:$H$267,'Строки сметы'!$A$9:$A$267,$A43)</x:f>
        <x:v>500.82000000000005</x:v>
      </x:c>
      <x:c r="F43" s="10" t="n">
        <x:f>COUNTIFS('Строки сметы'!$A$9:$A$267,$A43)</x:f>
        <x:v>1</x:v>
      </x:c>
      <x:c r="G43" s="10" t="n">
        <x:f>SUMIFS('Строки сметы'!$K$9:$K$267,'Строки сметы'!$A$9:$A$267,$A43)</x:f>
        <x:v>1</x:v>
      </x:c>
      <x:c r="H43" s="10" t="n">
        <x:f>SUMIFS('Строки сметы'!$J$9:$J$267,'Строки сметы'!$A$9:$A$267,$A43)</x:f>
        <x:v>0</x:v>
      </x:c>
      <x:c r="I43" s="8" t="str">
        <x:f>IF(H43=0,"Цена есть",IF(G43&gt;0,"Частично покрыто","Нужно найти"))</x:f>
        <x:v>Цена есть</x:v>
      </x:c>
      <x:c r="J43" s="8" t="str">
        <x:v>Сохранять актуальность найденной цены</x:v>
      </x:c>
      <x:c r="K43" s="8" t="str"/>
      <x:c r="L43" s="8" t="str">
        <x:v>Кабельные заводы, электротехнические и трубные базы</x:v>
      </x:c>
    </x:row>
    <x:row r="44" ht="39" customHeight="1">
      <x:c r="A44" s="13" t="str">
        <x:v>N036</x:v>
      </x:c>
      <x:c r="B44" s="13" t="str">
        <x:v>Щиты и электротехнические изделия</x:v>
      </x:c>
      <x:c r="C44" s="13" t="str">
        <x:v>Блок распределительный РБД-125А</x:v>
      </x:c>
      <x:c r="D44" s="13" t="str">
        <x:v>шт</x:v>
      </x:c>
      <x:c r="E44" s="15" t="n">
        <x:f>SUMIFS('Строки сметы'!$H$9:$H$267,'Строки сметы'!$A$9:$A$267,$A44)</x:f>
        <x:v>15</x:v>
      </x:c>
      <x:c r="F44" s="14" t="n">
        <x:f>COUNTIFS('Строки сметы'!$A$9:$A$267,$A44)</x:f>
        <x:v>1</x:v>
      </x:c>
      <x:c r="G44" s="14" t="n">
        <x:f>SUMIFS('Строки сметы'!$K$9:$K$267,'Строки сметы'!$A$9:$A$267,$A44)</x:f>
        <x:v>0</x:v>
      </x:c>
      <x:c r="H44" s="14" t="n">
        <x:f>SUMIFS('Строки сметы'!$J$9:$J$267,'Строки сметы'!$A$9:$A$267,$A44)</x:f>
        <x:v>1</x:v>
      </x:c>
      <x:c r="I44" s="13" t="str">
        <x:f>IF(H44=0,"Цена есть",IF(G44&gt;0,"Частично покрыто","Нужно найти"))</x:f>
        <x:v>Нужно найти</x:v>
      </x:c>
      <x:c r="J44" s="13" t="str">
        <x:v>Найти сопоставимую цену</x:v>
      </x:c>
      <x:c r="K44" s="13" t="str"/>
      <x:c r="L44" s="13" t="str">
        <x:v>Дилеры IEK, EKF, КЭАЗ, КВТ и электротехнические базы</x:v>
      </x:c>
    </x:row>
    <x:row r="45" ht="39" customHeight="1">
      <x:c r="A45" s="8" t="str">
        <x:v>N037</x:v>
      </x:c>
      <x:c r="B45" s="8" t="str">
        <x:v>Щиты и электротехнические изделия</x:v>
      </x:c>
      <x:c r="C45" s="8" t="str">
        <x:v>Выключатель автоматический 1P, 20 А, 10 кА, характеристика D</x:v>
      </x:c>
      <x:c r="D45" s="8" t="str">
        <x:v>шт</x:v>
      </x:c>
      <x:c r="E45" s="11" t="n">
        <x:f>SUMIFS('Строки сметы'!$H$9:$H$267,'Строки сметы'!$A$9:$A$267,$A45)</x:f>
        <x:v>6</x:v>
      </x:c>
      <x:c r="F45" s="10" t="n">
        <x:f>COUNTIFS('Строки сметы'!$A$9:$A$267,$A45)</x:f>
        <x:v>1</x:v>
      </x:c>
      <x:c r="G45" s="10" t="n">
        <x:f>SUMIFS('Строки сметы'!$K$9:$K$267,'Строки сметы'!$A$9:$A$267,$A45)</x:f>
        <x:v>0</x:v>
      </x:c>
      <x:c r="H45" s="10" t="n">
        <x:f>SUMIFS('Строки сметы'!$J$9:$J$267,'Строки сметы'!$A$9:$A$267,$A45)</x:f>
        <x:v>1</x:v>
      </x:c>
      <x:c r="I45" s="8" t="str">
        <x:f>IF(H45=0,"Цена есть",IF(G45&gt;0,"Частично покрыто","Нужно найти"))</x:f>
        <x:v>Нужно найти</x:v>
      </x:c>
      <x:c r="J45" s="8" t="str">
        <x:v>Найти сопоставимую цену</x:v>
      </x:c>
      <x:c r="K45" s="8" t="str"/>
      <x:c r="L45" s="8" t="str">
        <x:v>Дилеры IEK, EKF, КЭАЗ, КВТ и электротехнические базы</x:v>
      </x:c>
    </x:row>
    <x:row r="46" ht="39" customHeight="1">
      <x:c r="A46" s="13" t="str">
        <x:v>N038</x:v>
      </x:c>
      <x:c r="B46" s="13" t="str">
        <x:v>Щиты и электротехнические изделия</x:v>
      </x:c>
      <x:c r="C46" s="13" t="str">
        <x:v>Выключатель автоматический 3п 50А ВА</x:v>
      </x:c>
      <x:c r="D46" s="13" t="str">
        <x:v>шт</x:v>
      </x:c>
      <x:c r="E46" s="15" t="n">
        <x:f>SUMIFS('Строки сметы'!$H$9:$H$267,'Строки сметы'!$A$9:$A$267,$A46)</x:f>
        <x:v>1</x:v>
      </x:c>
      <x:c r="F46" s="14" t="n">
        <x:f>COUNTIFS('Строки сметы'!$A$9:$A$267,$A46)</x:f>
        <x:v>1</x:v>
      </x:c>
      <x:c r="G46" s="14" t="n">
        <x:f>SUMIFS('Строки сметы'!$K$9:$K$267,'Строки сметы'!$A$9:$A$267,$A46)</x:f>
        <x:v>0</x:v>
      </x:c>
      <x:c r="H46" s="14" t="n">
        <x:f>SUMIFS('Строки сметы'!$J$9:$J$267,'Строки сметы'!$A$9:$A$267,$A46)</x:f>
        <x:v>1</x:v>
      </x:c>
      <x:c r="I46" s="13" t="str">
        <x:f>IF(H46=0,"Цена есть",IF(G46&gt;0,"Частично покрыто","Нужно найти"))</x:f>
        <x:v>Нужно найти</x:v>
      </x:c>
      <x:c r="J46" s="13" t="str">
        <x:v>Найти сопоставимую цену</x:v>
      </x:c>
      <x:c r="K46" s="13" t="str">
        <x:v>Не указана полная серия автомата и отключающая способность.</x:v>
      </x:c>
      <x:c r="L46" s="13" t="str">
        <x:v>Дилеры IEK, EKF, КЭАЗ, КВТ и электротехнические базы</x:v>
      </x:c>
    </x:row>
    <x:row r="47" ht="39" customHeight="1">
      <x:c r="A47" s="8" t="str">
        <x:v>N039</x:v>
      </x:c>
      <x:c r="B47" s="8" t="str">
        <x:v>Щиты и электротехнические изделия</x:v>
      </x:c>
      <x:c r="C47" s="8" t="str">
        <x:v>Комплект расширительных выводов КЭАЗ для ВА04-36/ВА51-35/ВА57-35</x:v>
      </x:c>
      <x:c r="D47" s="8" t="str">
        <x:v>компл</x:v>
      </x:c>
      <x:c r="E47" s="11" t="n">
        <x:f>SUMIFS('Строки сметы'!$H$9:$H$267,'Строки сметы'!$A$9:$A$267,$A47)</x:f>
        <x:v>3</x:v>
      </x:c>
      <x:c r="F47" s="10" t="n">
        <x:f>COUNTIFS('Строки сметы'!$A$9:$A$267,$A47)</x:f>
        <x:v>1</x:v>
      </x:c>
      <x:c r="G47" s="10" t="n">
        <x:f>SUMIFS('Строки сметы'!$K$9:$K$267,'Строки сметы'!$A$9:$A$267,$A47)</x:f>
        <x:v>0</x:v>
      </x:c>
      <x:c r="H47" s="10" t="n">
        <x:f>SUMIFS('Строки сметы'!$J$9:$J$267,'Строки сметы'!$A$9:$A$267,$A47)</x:f>
        <x:v>1</x:v>
      </x:c>
      <x:c r="I47" s="8" t="str">
        <x:f>IF(H47=0,"Цена есть",IF(G47&gt;0,"Частично покрыто","Нужно найти"))</x:f>
        <x:v>Нужно найти</x:v>
      </x:c>
      <x:c r="J47" s="8" t="str">
        <x:v>Найти сопоставимую цену</x:v>
      </x:c>
      <x:c r="K47" s="8" t="str"/>
      <x:c r="L47" s="8" t="str">
        <x:v>Дилеры IEK, EKF, КЭАЗ, КВТ и электротехнические базы</x:v>
      </x:c>
    </x:row>
    <x:row r="48" ht="39" customHeight="1">
      <x:c r="A48" s="13" t="str">
        <x:v>N040</x:v>
      </x:c>
      <x:c r="B48" s="13" t="str">
        <x:v>Щиты и электротехнические изделия</x:v>
      </x:c>
      <x:c r="C48" s="13" t="str">
        <x:v>Лента сигнальная полиэтиленовая ЛСЭ-300, длина 100 м, ширина 300 мм</x:v>
      </x:c>
      <x:c r="D48" s="13" t="str">
        <x:v>шт</x:v>
      </x:c>
      <x:c r="E48" s="15" t="n">
        <x:f>SUMIFS('Строки сметы'!$H$9:$H$267,'Строки сметы'!$A$9:$A$267,$A48)</x:f>
        <x:v>10.55</x:v>
      </x:c>
      <x:c r="F48" s="14" t="n">
        <x:f>COUNTIFS('Строки сметы'!$A$9:$A$267,$A48)</x:f>
        <x:v>2</x:v>
      </x:c>
      <x:c r="G48" s="14" t="n">
        <x:f>SUMIFS('Строки сметы'!$K$9:$K$267,'Строки сметы'!$A$9:$A$267,$A48)</x:f>
        <x:v>1</x:v>
      </x:c>
      <x:c r="H48" s="14" t="n">
        <x:f>SUMIFS('Строки сметы'!$J$9:$J$267,'Строки сметы'!$A$9:$A$267,$A48)</x:f>
        <x:v>1</x:v>
      </x:c>
      <x:c r="I48" s="13" t="str">
        <x:f>IF(H48=0,"Цена есть",IF(G48&gt;0,"Частично покрыто","Нужно найти"))</x:f>
        <x:v>Частично покрыто</x:v>
      </x:c>
      <x:c r="J48" s="13" t="str">
        <x:v>Найти сопоставимую цену</x:v>
      </x:c>
      <x:c r="K48" s="13" t="str"/>
      <x:c r="L48" s="13" t="str">
        <x:v>Дилеры IEK, EKF, КЭАЗ, КВТ и электротехнические базы</x:v>
      </x:c>
    </x:row>
    <x:row r="49" ht="39" customHeight="1">
      <x:c r="A49" s="8" t="str">
        <x:v>N041</x:v>
      </x:c>
      <x:c r="B49" s="8" t="str">
        <x:v>Щиты и электротехнические изделия</x:v>
      </x:c>
      <x:c r="C49" s="8" t="str">
        <x:v>Муфта кабельная концевая 4ПКТп(б)-1-16/25(Б) (КВТ)</x:v>
      </x:c>
      <x:c r="D49" s="8" t="str">
        <x:v>шт</x:v>
      </x:c>
      <x:c r="E49" s="11" t="n">
        <x:f>SUMIFS('Строки сметы'!$H$9:$H$267,'Строки сметы'!$A$9:$A$267,$A49)</x:f>
        <x:v>86</x:v>
      </x:c>
      <x:c r="F49" s="10" t="n">
        <x:f>COUNTIFS('Строки сметы'!$A$9:$A$267,$A49)</x:f>
        <x:v>1</x:v>
      </x:c>
      <x:c r="G49" s="10" t="n">
        <x:f>SUMIFS('Строки сметы'!$K$9:$K$267,'Строки сметы'!$A$9:$A$267,$A49)</x:f>
        <x:v>0</x:v>
      </x:c>
      <x:c r="H49" s="10" t="n">
        <x:f>SUMIFS('Строки сметы'!$J$9:$J$267,'Строки сметы'!$A$9:$A$267,$A49)</x:f>
        <x:v>1</x:v>
      </x:c>
      <x:c r="I49" s="8" t="str">
        <x:f>IF(H49=0,"Цена есть",IF(G49&gt;0,"Частично покрыто","Нужно найти"))</x:f>
        <x:v>Нужно найти</x:v>
      </x:c>
      <x:c r="J49" s="8" t="str">
        <x:v>Найти сопоставимую цену</x:v>
      </x:c>
      <x:c r="K49" s="8" t="str"/>
      <x:c r="L49" s="8" t="str">
        <x:v>Дилеры IEK, EKF, КЭАЗ, КВТ и электротехнические базы</x:v>
      </x:c>
    </x:row>
    <x:row r="50" ht="39" customHeight="1">
      <x:c r="A50" s="13" t="str">
        <x:v>N042</x:v>
      </x:c>
      <x:c r="B50" s="13" t="str">
        <x:v>Щиты и электротехнические изделия</x:v>
      </x:c>
      <x:c r="C50" s="13" t="str">
        <x:v>Муфта кабельная концевая 5ПКТп-1-16/25</x:v>
      </x:c>
      <x:c r="D50" s="13" t="str">
        <x:v>шт</x:v>
      </x:c>
      <x:c r="E50" s="15" t="n">
        <x:f>SUMIFS('Строки сметы'!$H$9:$H$267,'Строки сметы'!$A$9:$A$267,$A50)</x:f>
        <x:v>6</x:v>
      </x:c>
      <x:c r="F50" s="14" t="n">
        <x:f>COUNTIFS('Строки сметы'!$A$9:$A$267,$A50)</x:f>
        <x:v>1</x:v>
      </x:c>
      <x:c r="G50" s="14" t="n">
        <x:f>SUMIFS('Строки сметы'!$K$9:$K$267,'Строки сметы'!$A$9:$A$267,$A50)</x:f>
        <x:v>0</x:v>
      </x:c>
      <x:c r="H50" s="14" t="n">
        <x:f>SUMIFS('Строки сметы'!$J$9:$J$267,'Строки сметы'!$A$9:$A$267,$A50)</x:f>
        <x:v>1</x:v>
      </x:c>
      <x:c r="I50" s="13" t="str">
        <x:f>IF(H50=0,"Цена есть",IF(G50&gt;0,"Частично покрыто","Нужно найти"))</x:f>
        <x:v>Нужно найти</x:v>
      </x:c>
      <x:c r="J50" s="13" t="str">
        <x:v>Найти сопоставимую цену</x:v>
      </x:c>
      <x:c r="K50" s="13" t="str"/>
      <x:c r="L50" s="13" t="str">
        <x:v>Дилеры IEK, EKF, КЭАЗ, КВТ и электротехнические базы</x:v>
      </x:c>
    </x:row>
    <x:row r="51" ht="39" customHeight="1">
      <x:c r="A51" s="8" t="str">
        <x:v>N043</x:v>
      </x:c>
      <x:c r="B51" s="8" t="str">
        <x:v>Щиты и электротехнические изделия</x:v>
      </x:c>
      <x:c r="C51" s="8" t="str">
        <x:v>Предохранитель проходной ПП-1+3А</x:v>
      </x:c>
      <x:c r="D51" s="8" t="str">
        <x:v>шт</x:v>
      </x:c>
      <x:c r="E51" s="11" t="n">
        <x:f>SUMIFS('Строки сметы'!$H$9:$H$267,'Строки сметы'!$A$9:$A$267,$A51)</x:f>
        <x:v>92</x:v>
      </x:c>
      <x:c r="F51" s="10" t="n">
        <x:f>COUNTIFS('Строки сметы'!$A$9:$A$267,$A51)</x:f>
        <x:v>1</x:v>
      </x:c>
      <x:c r="G51" s="10" t="n">
        <x:f>SUMIFS('Строки сметы'!$K$9:$K$267,'Строки сметы'!$A$9:$A$267,$A51)</x:f>
        <x:v>0</x:v>
      </x:c>
      <x:c r="H51" s="10" t="n">
        <x:f>SUMIFS('Строки сметы'!$J$9:$J$267,'Строки сметы'!$A$9:$A$267,$A51)</x:f>
        <x:v>1</x:v>
      </x:c>
      <x:c r="I51" s="8" t="str">
        <x:f>IF(H51=0,"Цена есть",IF(G51&gt;0,"Частично покрыто","Нужно найти"))</x:f>
        <x:v>Нужно найти</x:v>
      </x:c>
      <x:c r="J51" s="8" t="str">
        <x:v>Найти сопоставимую цену</x:v>
      </x:c>
      <x:c r="K51" s="8" t="str"/>
      <x:c r="L51" s="8" t="str">
        <x:v>Дилеры IEK, EKF, КЭАЗ, КВТ и электротехнические базы</x:v>
      </x:c>
    </x:row>
    <x:row r="52" ht="39" customHeight="1">
      <x:c r="A52" s="13" t="str">
        <x:v>N044</x:v>
      </x:c>
      <x:c r="B52" s="13" t="str">
        <x:v>Щиты и электротехнические изделия</x:v>
      </x:c>
      <x:c r="C52" s="13" t="str">
        <x:v>Сжим типа У733М для магистральных и ответвительных проводов и кабелей</x:v>
      </x:c>
      <x:c r="D52" s="13" t="str">
        <x:v>шт</x:v>
      </x:c>
      <x:c r="E52" s="15" t="n">
        <x:f>SUMIFS('Строки сметы'!$H$9:$H$267,'Строки сметы'!$A$9:$A$267,$A52)</x:f>
        <x:v>172</x:v>
      </x:c>
      <x:c r="F52" s="14" t="n">
        <x:f>COUNTIFS('Строки сметы'!$A$9:$A$267,$A52)</x:f>
        <x:v>1</x:v>
      </x:c>
      <x:c r="G52" s="14" t="n">
        <x:f>SUMIFS('Строки сметы'!$K$9:$K$267,'Строки сметы'!$A$9:$A$267,$A52)</x:f>
        <x:v>0</x:v>
      </x:c>
      <x:c r="H52" s="14" t="n">
        <x:f>SUMIFS('Строки сметы'!$J$9:$J$267,'Строки сметы'!$A$9:$A$267,$A52)</x:f>
        <x:v>1</x:v>
      </x:c>
      <x:c r="I52" s="13" t="str">
        <x:f>IF(H52=0,"Цена есть",IF(G52&gt;0,"Частично покрыто","Нужно найти"))</x:f>
        <x:v>Нужно найти</x:v>
      </x:c>
      <x:c r="J52" s="13" t="str">
        <x:v>Найти сопоставимую цену</x:v>
      </x:c>
      <x:c r="K52" s="13" t="str"/>
      <x:c r="L52" s="13" t="str">
        <x:v>Дилеры IEK, EKF, КЭАЗ, КВТ и электротехнические базы</x:v>
      </x:c>
    </x:row>
    <x:row r="53" ht="39" customHeight="1">
      <x:c r="A53" s="8" t="str">
        <x:v>N045</x:v>
      </x:c>
      <x:c r="B53" s="8" t="str">
        <x:v>Щиты и электротехнические изделия</x:v>
      </x:c>
      <x:c r="C53" s="8" t="str">
        <x:v>УЗИП (Устройство защиты от импульсных перенапряжений) РИФ-Э-I+II 275/12,5 с (3+0)</x:v>
      </x:c>
      <x:c r="D53" s="8" t="str">
        <x:v>шт</x:v>
      </x:c>
      <x:c r="E53" s="11" t="n">
        <x:f>SUMIFS('Строки сметы'!$H$9:$H$267,'Строки сметы'!$A$9:$A$267,$A53)</x:f>
        <x:v>1</x:v>
      </x:c>
      <x:c r="F53" s="10" t="n">
        <x:f>COUNTIFS('Строки сметы'!$A$9:$A$267,$A53)</x:f>
        <x:v>1</x:v>
      </x:c>
      <x:c r="G53" s="10" t="n">
        <x:f>SUMIFS('Строки сметы'!$K$9:$K$267,'Строки сметы'!$A$9:$A$267,$A53)</x:f>
        <x:v>0</x:v>
      </x:c>
      <x:c r="H53" s="10" t="n">
        <x:f>SUMIFS('Строки сметы'!$J$9:$J$267,'Строки сметы'!$A$9:$A$267,$A53)</x:f>
        <x:v>1</x:v>
      </x:c>
      <x:c r="I53" s="8" t="str">
        <x:f>IF(H53=0,"Цена есть",IF(G53&gt;0,"Частично покрыто","Нужно найти"))</x:f>
        <x:v>Нужно найти</x:v>
      </x:c>
      <x:c r="J53" s="8" t="str">
        <x:v>Найти сопоставимую цену</x:v>
      </x:c>
      <x:c r="K53" s="8" t="str"/>
      <x:c r="L53" s="8" t="str">
        <x:v>Дилеры IEK, EKF, КЭАЗ, КВТ и электротехнические базы</x:v>
      </x:c>
    </x:row>
    <x:row r="54" ht="54" customHeight="1">
      <x:c r="A54" s="13" t="str">
        <x:v>N046</x:v>
      </x:c>
      <x:c r="B54" s="13" t="str">
        <x:v>Щиты и электротехнические изделия</x:v>
      </x:c>
      <x:c r="C54" s="13" t="str">
        <x:v>Щит распределительный наружной установки ЩРН-12, IP54, размеры 265х310х120 мм - Корпус металлический ЩРн-12з-0 У2 IP54 (MKM11-N-12-54-Z)</x:v>
      </x:c>
      <x:c r="D54" s="13" t="str">
        <x:v>шт</x:v>
      </x:c>
      <x:c r="E54" s="15" t="n">
        <x:f>SUMIFS('Строки сметы'!$H$9:$H$267,'Строки сметы'!$A$9:$A$267,$A54)</x:f>
        <x:v>3</x:v>
      </x:c>
      <x:c r="F54" s="14" t="n">
        <x:f>COUNTIFS('Строки сметы'!$A$9:$A$267,$A54)</x:f>
        <x:v>1</x:v>
      </x:c>
      <x:c r="G54" s="14" t="n">
        <x:f>SUMIFS('Строки сметы'!$K$9:$K$267,'Строки сметы'!$A$9:$A$267,$A54)</x:f>
        <x:v>0</x:v>
      </x:c>
      <x:c r="H54" s="14" t="n">
        <x:f>SUMIFS('Строки сметы'!$J$9:$J$267,'Строки сметы'!$A$9:$A$267,$A54)</x:f>
        <x:v>1</x:v>
      </x:c>
      <x:c r="I54" s="13" t="str">
        <x:f>IF(H54=0,"Цена есть",IF(G54&gt;0,"Частично покрыто","Нужно найти"))</x:f>
        <x:v>Нужно найти</x:v>
      </x:c>
      <x:c r="J54" s="13" t="str">
        <x:v>Найти сопоставимую цену</x:v>
      </x:c>
      <x:c r="K54" s="13" t="str"/>
      <x:c r="L54" s="13" t="str">
        <x:v>Дилеры IEK, EKF, КЭАЗ, КВТ и электротехнические базы</x:v>
      </x:c>
    </x:row>
    <x:row r="55" ht="39" customHeight="1">
      <x:c r="A55" s="8" t="str">
        <x:v>N047</x:v>
      </x:c>
      <x:c r="B55" s="8" t="str">
        <x:v>Щиты и электротехнические изделия</x:v>
      </x:c>
      <x:c r="C55" s="8" t="str">
        <x:v>Щит с монтажной панелью, размеры 1600х800х400 мм, степень защиты IP66 - Корпус металлический ЩМП-16.8.4-0 У2 IP54</x:v>
      </x:c>
      <x:c r="D55" s="8" t="str">
        <x:v>шт</x:v>
      </x:c>
      <x:c r="E55" s="11" t="n">
        <x:f>SUMIFS('Строки сметы'!$H$9:$H$267,'Строки сметы'!$A$9:$A$267,$A55)</x:f>
        <x:v>1</x:v>
      </x:c>
      <x:c r="F55" s="10" t="n">
        <x:f>COUNTIFS('Строки сметы'!$A$9:$A$267,$A55)</x:f>
        <x:v>1</x:v>
      </x:c>
      <x:c r="G55" s="10" t="n">
        <x:f>SUMIFS('Строки сметы'!$K$9:$K$267,'Строки сметы'!$A$9:$A$267,$A55)</x:f>
        <x:v>0</x:v>
      </x:c>
      <x:c r="H55" s="10" t="n">
        <x:f>SUMIFS('Строки сметы'!$J$9:$J$267,'Строки сметы'!$A$9:$A$267,$A55)</x:f>
        <x:v>1</x:v>
      </x:c>
      <x:c r="I55" s="8" t="str">
        <x:f>IF(H55=0,"Цена есть",IF(G55&gt;0,"Частично покрыто","Нужно найти"))</x:f>
        <x:v>Нужно найти</x:v>
      </x:c>
      <x:c r="J55" s="8" t="str">
        <x:v>Проверить исходную спецификацию, затем искать цену</x:v>
      </x:c>
      <x:c r="K55" s="8" t="str">
        <x:v>В строке противоречат друг другу IP54, IP66. Проверить проектную спецификацию.</x:v>
      </x:c>
      <x:c r="L55" s="8" t="str">
        <x:v>Дилеры IEK, EKF, КЭАЗ, КВТ и электротехнические базы</x:v>
      </x:c>
    </x:row>
    <x:row r="56" ht="39" customHeight="1">
      <x:c r="A56" s="13" t="str">
        <x:v>N048</x:v>
      </x:c>
      <x:c r="B56" s="13" t="str">
        <x:v>Щиты и электротехнические изделия</x:v>
      </x:c>
      <x:c r="C56" s="13" t="str">
        <x:v>Щит с монтажной панелью, размеры 800х600х250 мм, степень защиты IP66 - Корпус металлический ЩМП-4-0 74 У1 IP65</x:v>
      </x:c>
      <x:c r="D56" s="13" t="str">
        <x:v>шт</x:v>
      </x:c>
      <x:c r="E56" s="15" t="n">
        <x:f>SUMIFS('Строки сметы'!$H$9:$H$267,'Строки сметы'!$A$9:$A$267,$A56)</x:f>
        <x:v>1</x:v>
      </x:c>
      <x:c r="F56" s="14" t="n">
        <x:f>COUNTIFS('Строки сметы'!$A$9:$A$267,$A56)</x:f>
        <x:v>1</x:v>
      </x:c>
      <x:c r="G56" s="14" t="n">
        <x:f>SUMIFS('Строки сметы'!$K$9:$K$267,'Строки сметы'!$A$9:$A$267,$A56)</x:f>
        <x:v>0</x:v>
      </x:c>
      <x:c r="H56" s="14" t="n">
        <x:f>SUMIFS('Строки сметы'!$J$9:$J$267,'Строки сметы'!$A$9:$A$267,$A56)</x:f>
        <x:v>1</x:v>
      </x:c>
      <x:c r="I56" s="13" t="str">
        <x:f>IF(H56=0,"Цена есть",IF(G56&gt;0,"Частично покрыто","Нужно найти"))</x:f>
        <x:v>Нужно найти</x:v>
      </x:c>
      <x:c r="J56" s="13" t="str">
        <x:v>Проверить исходную спецификацию, затем искать цену</x:v>
      </x:c>
      <x:c r="K56" s="13" t="str">
        <x:v>В строке противоречат друг другу IP65, IP66. Проверить проектную спецификацию.</x:v>
      </x:c>
      <x:c r="L56" s="13" t="str">
        <x:v>Дилеры IEK, EKF, КЭАЗ, КВТ и электротехнические базы</x:v>
      </x:c>
    </x:row>
    <x:row r="57" ht="39" customHeight="1">
      <x:c r="A57" s="8" t="str">
        <x:v>N049</x:v>
      </x:c>
      <x:c r="B57" s="8" t="str">
        <x:v>Щиты и электротехнические изделия</x:v>
      </x:c>
      <x:c r="C57" s="8" t="str">
        <x:v>Щит с монтажной панелью, размеры 800х600х250 мм, степень защиты IP66 -- Корпус металлический ЩМП-4-0 74 У2 IP54</x:v>
      </x:c>
      <x:c r="D57" s="8" t="str">
        <x:v>шт</x:v>
      </x:c>
      <x:c r="E57" s="11" t="n">
        <x:f>SUMIFS('Строки сметы'!$H$9:$H$267,'Строки сметы'!$A$9:$A$267,$A57)</x:f>
        <x:v>3</x:v>
      </x:c>
      <x:c r="F57" s="10" t="n">
        <x:f>COUNTIFS('Строки сметы'!$A$9:$A$267,$A57)</x:f>
        <x:v>1</x:v>
      </x:c>
      <x:c r="G57" s="10" t="n">
        <x:f>SUMIFS('Строки сметы'!$K$9:$K$267,'Строки сметы'!$A$9:$A$267,$A57)</x:f>
        <x:v>0</x:v>
      </x:c>
      <x:c r="H57" s="10" t="n">
        <x:f>SUMIFS('Строки сметы'!$J$9:$J$267,'Строки сметы'!$A$9:$A$267,$A57)</x:f>
        <x:v>1</x:v>
      </x:c>
      <x:c r="I57" s="8" t="str">
        <x:f>IF(H57=0,"Цена есть",IF(G57&gt;0,"Частично покрыто","Нужно найти"))</x:f>
        <x:v>Нужно найти</x:v>
      </x:c>
      <x:c r="J57" s="8" t="str">
        <x:v>Проверить исходную спецификацию, затем искать цену</x:v>
      </x:c>
      <x:c r="K57" s="8" t="str">
        <x:v>В строке противоречат друг другу IP54, IP66. Проверить проектную спецификацию.</x:v>
      </x:c>
      <x:c r="L57" s="8" t="str">
        <x:v>Дилеры IEK, EKF, КЭАЗ, КВТ и электротехнические базы</x:v>
      </x:c>
    </x:row>
    <x:row r="58" ht="39" customHeight="1">
      <x:c r="A58" s="13" t="str">
        <x:v>N050</x:v>
      </x:c>
      <x:c r="B58" s="13" t="str">
        <x:v>Щиты и электротехнические изделия</x:v>
      </x:c>
      <x:c r="C58" s="13" t="str">
        <x:v>Автоматический выключатель MVA40-3-025-C</x:v>
      </x:c>
      <x:c r="D58" s="13" t="str">
        <x:v>шт</x:v>
      </x:c>
      <x:c r="E58" s="15" t="n">
        <x:f>SUMIFS('Строки сметы'!$H$9:$H$267,'Строки сметы'!$A$9:$A$267,$A58)</x:f>
        <x:v>3</x:v>
      </x:c>
      <x:c r="F58" s="14" t="n">
        <x:f>COUNTIFS('Строки сметы'!$A$9:$A$267,$A58)</x:f>
        <x:v>1</x:v>
      </x:c>
      <x:c r="G58" s="14" t="n">
        <x:f>SUMIFS('Строки сметы'!$K$9:$K$267,'Строки сметы'!$A$9:$A$267,$A58)</x:f>
        <x:v>1</x:v>
      </x:c>
      <x:c r="H58" s="14" t="n">
        <x:f>SUMIFS('Строки сметы'!$J$9:$J$267,'Строки сметы'!$A$9:$A$267,$A58)</x:f>
        <x:v>0</x:v>
      </x:c>
      <x:c r="I58" s="13" t="str">
        <x:f>IF(H58=0,"Цена есть",IF(G58&gt;0,"Частично покрыто","Нужно найти"))</x:f>
        <x:v>Цена есть</x:v>
      </x:c>
      <x:c r="J58" s="13" t="str">
        <x:v>Сохранять актуальность найденной цены</x:v>
      </x:c>
      <x:c r="K58" s="13" t="str"/>
      <x:c r="L58" s="13" t="str">
        <x:v>Дилеры IEK, EKF, КЭАЗ, КВТ и электротехнические базы</x:v>
      </x:c>
    </x:row>
    <x:row r="59" ht="39" customHeight="1">
      <x:c r="A59" s="8" t="str">
        <x:v>N051</x:v>
      </x:c>
      <x:c r="B59" s="8" t="str">
        <x:v>Щиты и электротехнические изделия</x:v>
      </x:c>
      <x:c r="C59" s="8" t="str">
        <x:v>Автоматический выключатель ИЭК ВА88-35 3Р 160А 35кА</x:v>
      </x:c>
      <x:c r="D59" s="8" t="str">
        <x:v>шт</x:v>
      </x:c>
      <x:c r="E59" s="11" t="n">
        <x:f>SUMIFS('Строки сметы'!$H$9:$H$267,'Строки сметы'!$A$9:$A$267,$A59)</x:f>
        <x:v>1</x:v>
      </x:c>
      <x:c r="F59" s="10" t="n">
        <x:f>COUNTIFS('Строки сметы'!$A$9:$A$267,$A59)</x:f>
        <x:v>1</x:v>
      </x:c>
      <x:c r="G59" s="10" t="n">
        <x:f>SUMIFS('Строки сметы'!$K$9:$K$267,'Строки сметы'!$A$9:$A$267,$A59)</x:f>
        <x:v>1</x:v>
      </x:c>
      <x:c r="H59" s="10" t="n">
        <x:f>SUMIFS('Строки сметы'!$J$9:$J$267,'Строки сметы'!$A$9:$A$267,$A59)</x:f>
        <x:v>0</x:v>
      </x:c>
      <x:c r="I59" s="8" t="str">
        <x:f>IF(H59=0,"Цена есть",IF(G59&gt;0,"Частично покрыто","Нужно найти"))</x:f>
        <x:v>Цена есть</x:v>
      </x:c>
      <x:c r="J59" s="8" t="str">
        <x:v>Сохранять актуальность найденной цены</x:v>
      </x:c>
      <x:c r="K59" s="8" t="str"/>
      <x:c r="L59" s="8" t="str">
        <x:v>Дилеры IEK, EKF, КЭАЗ, КВТ и электротехнические базы</x:v>
      </x:c>
    </x:row>
    <x:row r="60" ht="39" customHeight="1">
      <x:c r="A60" s="13" t="str">
        <x:v>N052</x:v>
      </x:c>
      <x:c r="B60" s="13" t="str">
        <x:v>Щиты и электротехнические изделия</x:v>
      </x:c>
      <x:c r="C60" s="13" t="str">
        <x:v>Выключатель автоматический 3п 63А 35кА ВА 88-35</x:v>
      </x:c>
      <x:c r="D60" s="13" t="str">
        <x:v>шт</x:v>
      </x:c>
      <x:c r="E60" s="15" t="n">
        <x:f>SUMIFS('Строки сметы'!$H$9:$H$267,'Строки сметы'!$A$9:$A$267,$A60)</x:f>
        <x:v>1</x:v>
      </x:c>
      <x:c r="F60" s="14" t="n">
        <x:f>COUNTIFS('Строки сметы'!$A$9:$A$267,$A60)</x:f>
        <x:v>1</x:v>
      </x:c>
      <x:c r="G60" s="14" t="n">
        <x:f>SUMIFS('Строки сметы'!$K$9:$K$267,'Строки сметы'!$A$9:$A$267,$A60)</x:f>
        <x:v>1</x:v>
      </x:c>
      <x:c r="H60" s="14" t="n">
        <x:f>SUMIFS('Строки сметы'!$J$9:$J$267,'Строки сметы'!$A$9:$A$267,$A60)</x:f>
        <x:v>0</x:v>
      </x:c>
      <x:c r="I60" s="13" t="str">
        <x:f>IF(H60=0,"Цена есть",IF(G60&gt;0,"Частично покрыто","Нужно найти"))</x:f>
        <x:v>Цена есть</x:v>
      </x:c>
      <x:c r="J60" s="13" t="str">
        <x:v>Сохранять актуальность найденной цены</x:v>
      </x:c>
      <x:c r="K60" s="13" t="str"/>
      <x:c r="L60" s="13" t="str">
        <x:v>Дилеры IEK, EKF, КЭАЗ, КВТ и электротехнические базы</x:v>
      </x:c>
    </x:row>
    <x:row r="61" ht="39" customHeight="1">
      <x:c r="A61" s="8" t="str">
        <x:v>N053</x:v>
      </x:c>
      <x:c r="B61" s="8" t="str">
        <x:v>Щиты и электротехнические изделия</x:v>
      </x:c>
      <x:c r="C61" s="8" t="str">
        <x:v>Изолятор ступенчатый ИС4-30 (М8) силовой с болтом</x:v>
      </x:c>
      <x:c r="D61" s="8" t="str">
        <x:v>шт</x:v>
      </x:c>
      <x:c r="E61" s="11" t="n">
        <x:f>SUMIFS('Строки сметы'!$H$9:$H$267,'Строки сметы'!$A$9:$A$267,$A61)</x:f>
        <x:v>2</x:v>
      </x:c>
      <x:c r="F61" s="10" t="n">
        <x:f>COUNTIFS('Строки сметы'!$A$9:$A$267,$A61)</x:f>
        <x:v>1</x:v>
      </x:c>
      <x:c r="G61" s="10" t="n">
        <x:f>SUMIFS('Строки сметы'!$K$9:$K$267,'Строки сметы'!$A$9:$A$267,$A61)</x:f>
        <x:v>1</x:v>
      </x:c>
      <x:c r="H61" s="10" t="n">
        <x:f>SUMIFS('Строки сметы'!$J$9:$J$267,'Строки сметы'!$A$9:$A$267,$A61)</x:f>
        <x:v>0</x:v>
      </x:c>
      <x:c r="I61" s="8" t="str">
        <x:f>IF(H61=0,"Цена есть",IF(G61&gt;0,"Частично покрыто","Нужно найти"))</x:f>
        <x:v>Цена есть</x:v>
      </x:c>
      <x:c r="J61" s="8" t="str">
        <x:v>Сохранять актуальность найденной цены</x:v>
      </x:c>
      <x:c r="K61" s="8" t="str"/>
      <x:c r="L61" s="8" t="str">
        <x:v>Дилеры IEK, EKF, КЭАЗ, КВТ и электротехнические базы</x:v>
      </x:c>
    </x:row>
    <x:row r="62" ht="39" customHeight="1">
      <x:c r="A62" s="13" t="str">
        <x:v>N054</x:v>
      </x:c>
      <x:c r="B62" s="13" t="str">
        <x:v>Щиты и электротехнические изделия</x:v>
      </x:c>
      <x:c r="C62" s="13" t="str">
        <x:v>Клеммник WAGO 222-413</x:v>
      </x:c>
      <x:c r="D62" s="13" t="str">
        <x:v>шт</x:v>
      </x:c>
      <x:c r="E62" s="15" t="n">
        <x:f>SUMIFS('Строки сметы'!$H$9:$H$267,'Строки сметы'!$A$9:$A$267,$A62)</x:f>
        <x:v>368</x:v>
      </x:c>
      <x:c r="F62" s="14" t="n">
        <x:f>COUNTIFS('Строки сметы'!$A$9:$A$267,$A62)</x:f>
        <x:v>1</x:v>
      </x:c>
      <x:c r="G62" s="14" t="n">
        <x:f>SUMIFS('Строки сметы'!$K$9:$K$267,'Строки сметы'!$A$9:$A$267,$A62)</x:f>
        <x:v>1</x:v>
      </x:c>
      <x:c r="H62" s="14" t="n">
        <x:f>SUMIFS('Строки сметы'!$J$9:$J$267,'Строки сметы'!$A$9:$A$267,$A62)</x:f>
        <x:v>0</x:v>
      </x:c>
      <x:c r="I62" s="13" t="str">
        <x:f>IF(H62=0,"Цена есть",IF(G62&gt;0,"Частично покрыто","Нужно найти"))</x:f>
        <x:v>Цена есть</x:v>
      </x:c>
      <x:c r="J62" s="13" t="str">
        <x:v>Сохранять актуальность найденной цены</x:v>
      </x:c>
      <x:c r="K62" s="13" t="str"/>
      <x:c r="L62" s="13" t="str">
        <x:v>Дилеры IEK, EKF, КЭАЗ, КВТ и электротехнические базы</x:v>
      </x:c>
    </x:row>
    <x:row r="63" ht="54" customHeight="1">
      <x:c r="A63" s="8" t="str">
        <x:v>N055</x:v>
      </x:c>
      <x:c r="B63" s="8" t="str">
        <x:v>Светильники, опоры и их комплектующие</x:v>
      </x:c>
      <x:c r="C63" s="8" t="str">
        <x:v>А777164 SPT05n014 Светильник Spot-05-AF-54Вт (45, 03 (2700-2800К), ЧМ, AF0100003205)</x:v>
      </x:c>
      <x:c r="D63" s="8" t="str">
        <x:v>шт</x:v>
      </x:c>
      <x:c r="E63" s="11" t="n">
        <x:f>SUMIFS('Строки сметы'!$H$9:$H$267,'Строки сметы'!$A$9:$A$267,$A63)</x:f>
        <x:v>25</x:v>
      </x:c>
      <x:c r="F63" s="10" t="n">
        <x:f>COUNTIFS('Строки сметы'!$A$9:$A$267,$A63)</x:f>
        <x:v>1</x:v>
      </x:c>
      <x:c r="G63" s="10" t="n">
        <x:f>SUMIFS('Строки сметы'!$K$9:$K$267,'Строки сметы'!$A$9:$A$267,$A63)</x:f>
        <x:v>0</x:v>
      </x:c>
      <x:c r="H63" s="10" t="n">
        <x:f>SUMIFS('Строки сметы'!$J$9:$J$267,'Строки сметы'!$A$9:$A$267,$A63)</x:f>
        <x:v>1</x:v>
      </x:c>
      <x:c r="I63" s="8" t="str">
        <x:f>IF(H63=0,"Цена есть",IF(G63&gt;0,"Частично покрыто","Нужно найти"))</x:f>
        <x:v>Нужно найти</x:v>
      </x:c>
      <x:c r="J63" s="8" t="str">
        <x:v>Найти сопоставимую цену</x:v>
      </x:c>
      <x:c r="K63" s="8" t="str">
        <x:v>Искать полный артикул/исполнение производителя. При отсутствии открытой цены оставить цену по запросу.</x:v>
      </x:c>
      <x:c r="L63" s="8" t="str">
        <x:v>Производитель изделий AF и его дилеры</x:v>
      </x:c>
    </x:row>
    <x:row r="64" ht="54" customHeight="1">
      <x:c r="A64" s="13" t="str">
        <x:v>N056</x:v>
      </x:c>
      <x:c r="B64" s="13" t="str">
        <x:v>Светильники, опоры и их комплектующие</x:v>
      </x:c>
      <x:c r="C64" s="13" t="str">
        <x:v>А777164 ДСУ04n001 Светильник Бэлл ДСУ-04-AF-25Вт(d60)-БП внешний (120х60, 02 (4000К), Ш медная патина, медная патина-медная патина, Кабель 4,0м станд, AF0100009448)</x:v>
      </x:c>
      <x:c r="D64" s="13" t="str">
        <x:v>шт</x:v>
      </x:c>
      <x:c r="E64" s="15" t="n">
        <x:f>SUMIFS('Строки сметы'!$H$9:$H$267,'Строки сметы'!$A$9:$A$267,$A64)</x:f>
        <x:v>61</x:v>
      </x:c>
      <x:c r="F64" s="14" t="n">
        <x:f>COUNTIFS('Строки сметы'!$A$9:$A$267,$A64)</x:f>
        <x:v>1</x:v>
      </x:c>
      <x:c r="G64" s="14" t="n">
        <x:f>SUMIFS('Строки сметы'!$K$9:$K$267,'Строки сметы'!$A$9:$A$267,$A64)</x:f>
        <x:v>0</x:v>
      </x:c>
      <x:c r="H64" s="14" t="n">
        <x:f>SUMIFS('Строки сметы'!$J$9:$J$267,'Строки сметы'!$A$9:$A$267,$A64)</x:f>
        <x:v>1</x:v>
      </x:c>
      <x:c r="I64" s="13" t="str">
        <x:f>IF(H64=0,"Цена есть",IF(G64&gt;0,"Частично покрыто","Нужно найти"))</x:f>
        <x:v>Нужно найти</x:v>
      </x:c>
      <x:c r="J64" s="13" t="str">
        <x:v>Найти сопоставимую цену</x:v>
      </x:c>
      <x:c r="K64" s="13" t="str">
        <x:v>Искать полный артикул/исполнение производителя. При отсутствии открытой цены оставить цену по запросу.</x:v>
      </x:c>
      <x:c r="L64" s="13" t="str">
        <x:v>Производитель изделий AF и его дилеры</x:v>
      </x:c>
    </x:row>
    <x:row r="65" ht="54" customHeight="1">
      <x:c r="A65" s="8" t="str">
        <x:v>N057</x:v>
      </x:c>
      <x:c r="B65" s="8" t="str">
        <x:v>Светильники, опоры и их комплектующие</x:v>
      </x:c>
      <x:c r="C65" s="8" t="str">
        <x:v>А777164 КК-ОПТ-3М20-n005 Крепёж 3х(Болт М20х60, Гайка, Шайба-2шт, Шайба-гровер)+1х(Гайка М8, Шайба М8-2шт) (оц, AF0500000178)</x:v>
      </x:c>
      <x:c r="D65" s="8" t="str">
        <x:v>шт</x:v>
      </x:c>
      <x:c r="E65" s="11" t="n">
        <x:f>SUMIFS('Строки сметы'!$H$9:$H$267,'Строки сметы'!$A$9:$A$267,$A65)</x:f>
        <x:v>36</x:v>
      </x:c>
      <x:c r="F65" s="10" t="n">
        <x:f>COUNTIFS('Строки сметы'!$A$9:$A$267,$A65)</x:f>
        <x:v>1</x:v>
      </x:c>
      <x:c r="G65" s="10" t="n">
        <x:f>SUMIFS('Строки сметы'!$K$9:$K$267,'Строки сметы'!$A$9:$A$267,$A65)</x:f>
        <x:v>0</x:v>
      </x:c>
      <x:c r="H65" s="10" t="n">
        <x:f>SUMIFS('Строки сметы'!$J$9:$J$267,'Строки сметы'!$A$9:$A$267,$A65)</x:f>
        <x:v>1</x:v>
      </x:c>
      <x:c r="I65" s="8" t="str">
        <x:f>IF(H65=0,"Цена есть",IF(G65&gt;0,"Частично покрыто","Нужно найти"))</x:f>
        <x:v>Нужно найти</x:v>
      </x:c>
      <x:c r="J65" s="8" t="str">
        <x:v>Найти сопоставимую цену</x:v>
      </x:c>
      <x:c r="K65" s="8" t="str">
        <x:v>Искать полный артикул/исполнение производителя. При отсутствии открытой цены оставить цену по запросу.</x:v>
      </x:c>
      <x:c r="L65" s="8" t="str">
        <x:v>Производитель изделий AF и его дилеры</x:v>
      </x:c>
    </x:row>
    <x:row r="66" ht="54" customHeight="1">
      <x:c r="A66" s="13" t="str">
        <x:v>N058</x:v>
      </x:c>
      <x:c r="B66" s="13" t="str">
        <x:v>Светильники, опоры и их комплектующие</x:v>
      </x:c>
      <x:c r="C66" s="13" t="str">
        <x:v>А777164 КК-ОПТ-4М24к-n040 Крепёж 4х(Болт М24х70,Гайка-колп, Шайба увел-2шт, Шайба-2шт,Шайба-гровер)+1х(Гайка М8,Шайба М8-2шт) (нерж, AF0500000905)</x:v>
      </x:c>
      <x:c r="D66" s="13" t="str">
        <x:v>шт</x:v>
      </x:c>
      <x:c r="E66" s="15" t="n">
        <x:f>SUMIFS('Строки сметы'!$H$9:$H$267,'Строки сметы'!$A$9:$A$267,$A66)</x:f>
        <x:v>5</x:v>
      </x:c>
      <x:c r="F66" s="14" t="n">
        <x:f>COUNTIFS('Строки сметы'!$A$9:$A$267,$A66)</x:f>
        <x:v>1</x:v>
      </x:c>
      <x:c r="G66" s="14" t="n">
        <x:f>SUMIFS('Строки сметы'!$K$9:$K$267,'Строки сметы'!$A$9:$A$267,$A66)</x:f>
        <x:v>0</x:v>
      </x:c>
      <x:c r="H66" s="14" t="n">
        <x:f>SUMIFS('Строки сметы'!$J$9:$J$267,'Строки сметы'!$A$9:$A$267,$A66)</x:f>
        <x:v>1</x:v>
      </x:c>
      <x:c r="I66" s="13" t="str">
        <x:f>IF(H66=0,"Цена есть",IF(G66&gt;0,"Частично покрыто","Нужно найти"))</x:f>
        <x:v>Нужно найти</x:v>
      </x:c>
      <x:c r="J66" s="13" t="str">
        <x:v>Найти сопоставимую цену</x:v>
      </x:c>
      <x:c r="K66" s="13" t="str">
        <x:v>Искать полный артикул/исполнение производителя. При отсутствии открытой цены оставить цену по запросу.</x:v>
      </x:c>
      <x:c r="L66" s="13" t="str">
        <x:v>Производитель изделий AF и его дилеры</x:v>
      </x:c>
    </x:row>
    <x:row r="67" ht="54" customHeight="1">
      <x:c r="A67" s="8" t="str">
        <x:v>N059</x:v>
      </x:c>
      <x:c r="B67" s="8" t="str">
        <x:v>Светильники, опоры и их комплектующие</x:v>
      </x:c>
      <x:c r="C67" s="8" t="str">
        <x:v>А777164 КРВД26n012 Кронштейн КРВД1-26(d60)-0,089 (оц+ЧМ, AF0400001016)</x:v>
      </x:c>
      <x:c r="D67" s="8" t="str">
        <x:v>шт</x:v>
      </x:c>
      <x:c r="E67" s="11" t="n">
        <x:f>SUMIFS('Строки сметы'!$H$9:$H$267,'Строки сметы'!$A$9:$A$267,$A67)</x:f>
        <x:v>61</x:v>
      </x:c>
      <x:c r="F67" s="10" t="n">
        <x:f>COUNTIFS('Строки сметы'!$A$9:$A$267,$A67)</x:f>
        <x:v>1</x:v>
      </x:c>
      <x:c r="G67" s="10" t="n">
        <x:f>SUMIFS('Строки сметы'!$K$9:$K$267,'Строки сметы'!$A$9:$A$267,$A67)</x:f>
        <x:v>0</x:v>
      </x:c>
      <x:c r="H67" s="10" t="n">
        <x:f>SUMIFS('Строки сметы'!$J$9:$J$267,'Строки сметы'!$A$9:$A$267,$A67)</x:f>
        <x:v>1</x:v>
      </x:c>
      <x:c r="I67" s="8" t="str">
        <x:f>IF(H67=0,"Цена есть",IF(G67&gt;0,"Частично покрыто","Нужно найти"))</x:f>
        <x:v>Нужно найти</x:v>
      </x:c>
      <x:c r="J67" s="8" t="str">
        <x:v>Найти сопоставимую цену</x:v>
      </x:c>
      <x:c r="K67" s="8" t="str">
        <x:v>Искать полный артикул/исполнение производителя. При отсутствии открытой цены оставить цену по запросу.</x:v>
      </x:c>
      <x:c r="L67" s="8" t="str">
        <x:v>Производитель изделий AF и его дилеры</x:v>
      </x:c>
    </x:row>
    <x:row r="68" ht="54" customHeight="1">
      <x:c r="A68" s="13" t="str">
        <x:v>N060</x:v>
      </x:c>
      <x:c r="B68" s="13" t="str">
        <x:v>Светильники, опоры и их комплектующие</x:v>
      </x:c>
      <x:c r="C68" s="13" t="str">
        <x:v>А777164 КРШ-d260-d143-H50-n08 Крышка литая (ЧМ, AF0500000393)</x:v>
      </x:c>
      <x:c r="D68" s="13" t="str">
        <x:v>шт</x:v>
      </x:c>
      <x:c r="E68" s="15" t="n">
        <x:f>SUMIFS('Строки сметы'!$H$9:$H$267,'Строки сметы'!$A$9:$A$267,$A68)</x:f>
        <x:v>36</x:v>
      </x:c>
      <x:c r="F68" s="14" t="n">
        <x:f>COUNTIFS('Строки сметы'!$A$9:$A$267,$A68)</x:f>
        <x:v>1</x:v>
      </x:c>
      <x:c r="G68" s="14" t="n">
        <x:f>SUMIFS('Строки сметы'!$K$9:$K$267,'Строки сметы'!$A$9:$A$267,$A68)</x:f>
        <x:v>0</x:v>
      </x:c>
      <x:c r="H68" s="14" t="n">
        <x:f>SUMIFS('Строки сметы'!$J$9:$J$267,'Строки сметы'!$A$9:$A$267,$A68)</x:f>
        <x:v>1</x:v>
      </x:c>
      <x:c r="I68" s="13" t="str">
        <x:f>IF(H68=0,"Цена есть",IF(G68&gt;0,"Частично покрыто","Нужно найти"))</x:f>
        <x:v>Нужно найти</x:v>
      </x:c>
      <x:c r="J68" s="13" t="str">
        <x:v>Найти сопоставимую цену</x:v>
      </x:c>
      <x:c r="K68" s="13" t="str">
        <x:v>Искать полный артикул/исполнение производителя. При отсутствии открытой цены оставить цену по запросу.</x:v>
      </x:c>
      <x:c r="L68" s="13" t="str">
        <x:v>Производитель изделий AF и его дилеры</x:v>
      </x:c>
    </x:row>
    <x:row r="69" ht="54" customHeight="1">
      <x:c r="A69" s="8" t="str">
        <x:v>N061</x:v>
      </x:c>
      <x:c r="B69" s="8" t="str">
        <x:v>Светильники, опоры и их комплектующие</x:v>
      </x:c>
      <x:c r="C69" s="8" t="str">
        <x:v>А777164 ОПТ3-n005 Закладная ОПТ d180_d190-3М20-1,5(d108)(фл.d240) (AF0300000079)</x:v>
      </x:c>
      <x:c r="D69" s="8" t="str">
        <x:v>шт</x:v>
      </x:c>
      <x:c r="E69" s="11" t="n">
        <x:f>SUMIFS('Строки сметы'!$H$9:$H$267,'Строки сметы'!$A$9:$A$267,$A69)</x:f>
        <x:v>36</x:v>
      </x:c>
      <x:c r="F69" s="10" t="n">
        <x:f>COUNTIFS('Строки сметы'!$A$9:$A$267,$A69)</x:f>
        <x:v>1</x:v>
      </x:c>
      <x:c r="G69" s="10" t="n">
        <x:f>SUMIFS('Строки сметы'!$K$9:$K$267,'Строки сметы'!$A$9:$A$267,$A69)</x:f>
        <x:v>0</x:v>
      </x:c>
      <x:c r="H69" s="10" t="n">
        <x:f>SUMIFS('Строки сметы'!$J$9:$J$267,'Строки сметы'!$A$9:$A$267,$A69)</x:f>
        <x:v>1</x:v>
      </x:c>
      <x:c r="I69" s="8" t="str">
        <x:f>IF(H69=0,"Цена есть",IF(G69&gt;0,"Частично покрыто","Нужно найти"))</x:f>
        <x:v>Нужно найти</x:v>
      </x:c>
      <x:c r="J69" s="8" t="str">
        <x:v>Найти сопоставимую цену</x:v>
      </x:c>
      <x:c r="K69" s="8" t="str">
        <x:v>Искать полный артикул/исполнение производителя. При отсутствии открытой цены оставить цену по запросу.</x:v>
      </x:c>
      <x:c r="L69" s="8" t="str">
        <x:v>Производитель изделий AF и его дилеры</x:v>
      </x:c>
    </x:row>
    <x:row r="70" ht="54" customHeight="1">
      <x:c r="A70" s="13" t="str">
        <x:v>N062</x:v>
      </x:c>
      <x:c r="B70" s="13" t="str">
        <x:v>Светильники, опоры и их комплектующие</x:v>
      </x:c>
      <x:c r="C70" s="13" t="str">
        <x:v>А777164 ОПТ4-n027 Закладная ОПТ К200-4М24-2,0(d159)(фл.К280) (AF0300000113)</x:v>
      </x:c>
      <x:c r="D70" s="13" t="str">
        <x:v>шт</x:v>
      </x:c>
      <x:c r="E70" s="15" t="n">
        <x:f>SUMIFS('Строки сметы'!$H$9:$H$267,'Строки сметы'!$A$9:$A$267,$A70)</x:f>
        <x:v>5</x:v>
      </x:c>
      <x:c r="F70" s="14" t="n">
        <x:f>COUNTIFS('Строки сметы'!$A$9:$A$267,$A70)</x:f>
        <x:v>1</x:v>
      </x:c>
      <x:c r="G70" s="14" t="n">
        <x:f>SUMIFS('Строки сметы'!$K$9:$K$267,'Строки сметы'!$A$9:$A$267,$A70)</x:f>
        <x:v>0</x:v>
      </x:c>
      <x:c r="H70" s="14" t="n">
        <x:f>SUMIFS('Строки сметы'!$J$9:$J$267,'Строки сметы'!$A$9:$A$267,$A70)</x:f>
        <x:v>1</x:v>
      </x:c>
      <x:c r="I70" s="13" t="str">
        <x:f>IF(H70=0,"Цена есть",IF(G70&gt;0,"Частично покрыто","Нужно найти"))</x:f>
        <x:v>Нужно найти</x:v>
      </x:c>
      <x:c r="J70" s="13" t="str">
        <x:v>Найти сопоставимую цену</x:v>
      </x:c>
      <x:c r="K70" s="13" t="str">
        <x:v>Искать полный артикул/исполнение производителя. При отсутствии открытой цены оставить цену по запросу.</x:v>
      </x:c>
      <x:c r="L70" s="13" t="str">
        <x:v>Производитель изделий AF и его дилеры</x:v>
      </x:c>
    </x:row>
    <x:row r="71" ht="54" customHeight="1">
      <x:c r="A71" s="8" t="str">
        <x:v>N063</x:v>
      </x:c>
      <x:c r="B71" s="8" t="str">
        <x:v>Светильники, опоры и их комплектующие</x:v>
      </x:c>
      <x:c r="C71" s="8" t="str">
        <x:v>А777164 ОССвn029 Опора ОССв 4,0(d190-3М20+d133-d89) под КРВ (оц+ЧМ, AF0200000525)</x:v>
      </x:c>
      <x:c r="D71" s="8" t="str">
        <x:v>шт</x:v>
      </x:c>
      <x:c r="E71" s="11" t="n">
        <x:f>SUMIFS('Строки сметы'!$H$9:$H$267,'Строки сметы'!$A$9:$A$267,$A71)</x:f>
        <x:v>36</x:v>
      </x:c>
      <x:c r="F71" s="10" t="n">
        <x:f>COUNTIFS('Строки сметы'!$A$9:$A$267,$A71)</x:f>
        <x:v>1</x:v>
      </x:c>
      <x:c r="G71" s="10" t="n">
        <x:f>SUMIFS('Строки сметы'!$K$9:$K$267,'Строки сметы'!$A$9:$A$267,$A71)</x:f>
        <x:v>0</x:v>
      </x:c>
      <x:c r="H71" s="10" t="n">
        <x:f>SUMIFS('Строки сметы'!$J$9:$J$267,'Строки сметы'!$A$9:$A$267,$A71)</x:f>
        <x:v>1</x:v>
      </x:c>
      <x:c r="I71" s="8" t="str">
        <x:f>IF(H71=0,"Цена есть",IF(G71&gt;0,"Частично покрыто","Нужно найти"))</x:f>
        <x:v>Нужно найти</x:v>
      </x:c>
      <x:c r="J71" s="8" t="str">
        <x:v>Найти сопоставимую цену</x:v>
      </x:c>
      <x:c r="K71" s="8" t="str">
        <x:v>Искать полный артикул/исполнение производителя. При отсутствии открытой цены оставить цену по запросу.</x:v>
      </x:c>
      <x:c r="L71" s="8" t="str">
        <x:v>Производитель изделий AF и его дилеры</x:v>
      </x:c>
    </x:row>
    <x:row r="72" ht="54" customHeight="1">
      <x:c r="A72" s="13" t="str">
        <x:v>N064</x:v>
      </x:c>
      <x:c r="B72" s="13" t="str">
        <x:v>Светильники, опоры и их комплектующие</x:v>
      </x:c>
      <x:c r="C72" s="13" t="str">
        <x:v>А777215 КРШ-К300-d122-H120-n08 Крышка сварная (гальв+ЧМ, AF0500000412) - А777215</x:v>
      </x:c>
      <x:c r="D72" s="13" t="str">
        <x:v>шт</x:v>
      </x:c>
      <x:c r="E72" s="15" t="n">
        <x:f>SUMIFS('Строки сметы'!$H$9:$H$267,'Строки сметы'!$A$9:$A$267,$A72)</x:f>
        <x:v>2</x:v>
      </x:c>
      <x:c r="F72" s="14" t="n">
        <x:f>COUNTIFS('Строки сметы'!$A$9:$A$267,$A72)</x:f>
        <x:v>1</x:v>
      </x:c>
      <x:c r="G72" s="14" t="n">
        <x:f>SUMIFS('Строки сметы'!$K$9:$K$267,'Строки сметы'!$A$9:$A$267,$A72)</x:f>
        <x:v>0</x:v>
      </x:c>
      <x:c r="H72" s="14" t="n">
        <x:f>SUMIFS('Строки сметы'!$J$9:$J$267,'Строки сметы'!$A$9:$A$267,$A72)</x:f>
        <x:v>1</x:v>
      </x:c>
      <x:c r="I72" s="13" t="str">
        <x:f>IF(H72=0,"Цена есть",IF(G72&gt;0,"Частично покрыто","Нужно найти"))</x:f>
        <x:v>Нужно найти</x:v>
      </x:c>
      <x:c r="J72" s="13" t="str">
        <x:v>Найти сопоставимую цену</x:v>
      </x:c>
      <x:c r="K72" s="13" t="str">
        <x:v>Искать полный артикул/исполнение производителя. При отсутствии открытой цены оставить цену по запросу.</x:v>
      </x:c>
      <x:c r="L72" s="13" t="str">
        <x:v>Производитель изделий AF и его дилеры</x:v>
      </x:c>
    </x:row>
    <x:row r="73" ht="54" customHeight="1">
      <x:c r="A73" s="8" t="str">
        <x:v>N065</x:v>
      </x:c>
      <x:c r="B73" s="8" t="str">
        <x:v>Светильники, опоры и их комплектующие</x:v>
      </x:c>
      <x:c r="C73" s="8" t="str">
        <x:v>ДТУ201n075 Светильник Фобос 05Л ДТУ-201.1-AF-60Вт-3шт(45гр)(3хSpot-05(20Вт))-ОКК 6,0(К200-4М20) (150х70, 02 (4000К), оц+ЧМ, AF0100007472) - А777215</x:v>
      </x:c>
      <x:c r="D73" s="8" t="str">
        <x:v>шт</x:v>
      </x:c>
      <x:c r="E73" s="11" t="n">
        <x:f>SUMIFS('Строки сметы'!$H$9:$H$267,'Строки сметы'!$A$9:$A$267,$A73)</x:f>
        <x:v>2</x:v>
      </x:c>
      <x:c r="F73" s="10" t="n">
        <x:f>COUNTIFS('Строки сметы'!$A$9:$A$267,$A73)</x:f>
        <x:v>1</x:v>
      </x:c>
      <x:c r="G73" s="10" t="n">
        <x:f>SUMIFS('Строки сметы'!$K$9:$K$267,'Строки сметы'!$A$9:$A$267,$A73)</x:f>
        <x:v>0</x:v>
      </x:c>
      <x:c r="H73" s="10" t="n">
        <x:f>SUMIFS('Строки сметы'!$J$9:$J$267,'Строки сметы'!$A$9:$A$267,$A73)</x:f>
        <x:v>1</x:v>
      </x:c>
      <x:c r="I73" s="8" t="str">
        <x:f>IF(H73=0,"Цена есть",IF(G73&gt;0,"Частично покрыто","Нужно найти"))</x:f>
        <x:v>Нужно найти</x:v>
      </x:c>
      <x:c r="J73" s="8" t="str">
        <x:v>Найти сопоставимую цену</x:v>
      </x:c>
      <x:c r="K73" s="8" t="str">
        <x:v>Искать полный артикул/исполнение производителя. При отсутствии открытой цены оставить цену по запросу.</x:v>
      </x:c>
      <x:c r="L73" s="8" t="str">
        <x:v>Производитель изделий AF и его дилеры</x:v>
      </x:c>
    </x:row>
    <x:row r="74" ht="54" customHeight="1">
      <x:c r="A74" s="13" t="str">
        <x:v>N066</x:v>
      </x:c>
      <x:c r="B74" s="13" t="str">
        <x:v>Светильники, опоры и их комплектующие</x:v>
      </x:c>
      <x:c r="C74" s="13" t="str">
        <x:v>КК-ОПТ-4М20-n009 Крепёж 4х(Болт М20х60, Гайка, Шайба-2шт, Шайба-гровер)+1х(Гайка М8, Шайба М8-2шт) (оц, AF0500000186) - А777215</x:v>
      </x:c>
      <x:c r="D74" s="13" t="str">
        <x:v>шт</x:v>
      </x:c>
      <x:c r="E74" s="15" t="n">
        <x:f>SUMIFS('Строки сметы'!$H$9:$H$267,'Строки сметы'!$A$9:$A$267,$A74)</x:f>
        <x:v>2</x:v>
      </x:c>
      <x:c r="F74" s="14" t="n">
        <x:f>COUNTIFS('Строки сметы'!$A$9:$A$267,$A74)</x:f>
        <x:v>1</x:v>
      </x:c>
      <x:c r="G74" s="14" t="n">
        <x:f>SUMIFS('Строки сметы'!$K$9:$K$267,'Строки сметы'!$A$9:$A$267,$A74)</x:f>
        <x:v>0</x:v>
      </x:c>
      <x:c r="H74" s="14" t="n">
        <x:f>SUMIFS('Строки сметы'!$J$9:$J$267,'Строки сметы'!$A$9:$A$267,$A74)</x:f>
        <x:v>1</x:v>
      </x:c>
      <x:c r="I74" s="13" t="str">
        <x:f>IF(H74=0,"Цена есть",IF(G74&gt;0,"Частично покрыто","Нужно найти"))</x:f>
        <x:v>Нужно найти</x:v>
      </x:c>
      <x:c r="J74" s="13" t="str">
        <x:v>Найти сопоставимую цену</x:v>
      </x:c>
      <x:c r="K74" s="13" t="str">
        <x:v>Искать полный артикул/исполнение производителя. При отсутствии открытой цены оставить цену по запросу.</x:v>
      </x:c>
      <x:c r="L74" s="13" t="str">
        <x:v>Производитель изделий AF и его дилеры</x:v>
      </x:c>
    </x:row>
    <x:row r="75" ht="54" customHeight="1">
      <x:c r="A75" s="8" t="str">
        <x:v>N067</x:v>
      </x:c>
      <x:c r="B75" s="8" t="str">
        <x:v>Светильники, опоры и их комплектующие</x:v>
      </x:c>
      <x:c r="C75" s="8" t="str">
        <x:v>ОПТ4-n021 Закладная ОПТ К200-4М20-2,0(d133)(фл.К280) (AF0300000110) - А777215</x:v>
      </x:c>
      <x:c r="D75" s="8" t="str">
        <x:v>шт</x:v>
      </x:c>
      <x:c r="E75" s="11" t="n">
        <x:f>SUMIFS('Строки сметы'!$H$9:$H$267,'Строки сметы'!$A$9:$A$267,$A75)</x:f>
        <x:v>2</x:v>
      </x:c>
      <x:c r="F75" s="10" t="n">
        <x:f>COUNTIFS('Строки сметы'!$A$9:$A$267,$A75)</x:f>
        <x:v>1</x:v>
      </x:c>
      <x:c r="G75" s="10" t="n">
        <x:f>SUMIFS('Строки сметы'!$K$9:$K$267,'Строки сметы'!$A$9:$A$267,$A75)</x:f>
        <x:v>0</x:v>
      </x:c>
      <x:c r="H75" s="10" t="n">
        <x:f>SUMIFS('Строки сметы'!$J$9:$J$267,'Строки сметы'!$A$9:$A$267,$A75)</x:f>
        <x:v>1</x:v>
      </x:c>
      <x:c r="I75" s="8" t="str">
        <x:f>IF(H75=0,"Цена есть",IF(G75&gt;0,"Частично покрыто","Нужно найти"))</x:f>
        <x:v>Нужно найти</x:v>
      </x:c>
      <x:c r="J75" s="8" t="str">
        <x:v>Найти сопоставимую цену</x:v>
      </x:c>
      <x:c r="K75" s="8" t="str">
        <x:v>Искать полный артикул/исполнение производителя. При отсутствии открытой цены оставить цену по запросу.</x:v>
      </x:c>
      <x:c r="L75" s="8" t="str">
        <x:v>Производитель изделий AF и его дилеры</x:v>
      </x:c>
    </x:row>
    <x:row r="76" ht="54" customHeight="1">
      <x:c r="A76" s="13" t="str">
        <x:v>N068</x:v>
      </x:c>
      <x:c r="B76" s="13" t="str">
        <x:v>Светильники, опоры и их комплектующие</x:v>
      </x:c>
      <x:c r="C76" s="13" t="str">
        <x:v>Опора ОКК 8,0(К200-4М24)(d60)-под КРФоб оц+ЧМ</x:v>
      </x:c>
      <x:c r="D76" s="13" t="str">
        <x:v>шт</x:v>
      </x:c>
      <x:c r="E76" s="15" t="n">
        <x:f>SUMIFS('Строки сметы'!$H$9:$H$267,'Строки сметы'!$A$9:$A$267,$A76)</x:f>
        <x:v>5</x:v>
      </x:c>
      <x:c r="F76" s="14" t="n">
        <x:f>COUNTIFS('Строки сметы'!$A$9:$A$267,$A76)</x:f>
        <x:v>1</x:v>
      </x:c>
      <x:c r="G76" s="14" t="n">
        <x:f>SUMIFS('Строки сметы'!$K$9:$K$267,'Строки сметы'!$A$9:$A$267,$A76)</x:f>
        <x:v>0</x:v>
      </x:c>
      <x:c r="H76" s="14" t="n">
        <x:f>SUMIFS('Строки сметы'!$J$9:$J$267,'Строки сметы'!$A$9:$A$267,$A76)</x:f>
        <x:v>1</x:v>
      </x:c>
      <x:c r="I76" s="13" t="str">
        <x:f>IF(H76=0,"Цена есть",IF(G76&gt;0,"Частично покрыто","Нужно найти"))</x:f>
        <x:v>Нужно найти</x:v>
      </x:c>
      <x:c r="J76" s="13" t="str">
        <x:v>Найти сопоставимую цену</x:v>
      </x:c>
      <x:c r="K76" s="13" t="str">
        <x:v>Искать полный артикул/исполнение производителя. При отсутствии открытой цены оставить цену по запросу.</x:v>
      </x:c>
      <x:c r="L76" s="13" t="str">
        <x:v>Производитель изделий AF и его дилеры</x:v>
      </x:c>
    </x:row>
    <x:row r="77" ht="39" customHeight="1">
      <x:c r="A77" s="8" t="str">
        <x:v>N069</x:v>
      </x:c>
      <x:c r="B77" s="8" t="str">
        <x:v>Видеонаблюдение и сетевое оборудование</x:v>
      </x:c>
      <x:c r="C77" s="8" t="str">
        <x:v>Источник бесперебойного питания DL-SVC-TRX11-1KL-LCD/CS09C1</x:v>
      </x:c>
      <x:c r="D77" s="8" t="str">
        <x:v>шт</x:v>
      </x:c>
      <x:c r="E77" s="11" t="n">
        <x:f>SUMIFS('Строки сметы'!$H$9:$H$267,'Строки сметы'!$A$9:$A$267,$A77)</x:f>
        <x:v>1</x:v>
      </x:c>
      <x:c r="F77" s="10" t="n">
        <x:f>COUNTIFS('Строки сметы'!$A$9:$A$267,$A77)</x:f>
        <x:v>1</x:v>
      </x:c>
      <x:c r="G77" s="10" t="n">
        <x:f>SUMIFS('Строки сметы'!$K$9:$K$267,'Строки сметы'!$A$9:$A$267,$A77)</x:f>
        <x:v>0</x:v>
      </x:c>
      <x:c r="H77" s="10" t="n">
        <x:f>SUMIFS('Строки сметы'!$J$9:$J$267,'Строки сметы'!$A$9:$A$267,$A77)</x:f>
        <x:v>1</x:v>
      </x:c>
      <x:c r="I77" s="8" t="str">
        <x:f>IF(H77=0,"Цена есть",IF(G77&gt;0,"Частично покрыто","Нужно найти"))</x:f>
        <x:v>Нужно найти</x:v>
      </x:c>
      <x:c r="J77" s="8" t="str">
        <x:v>Найти сопоставимую цену</x:v>
      </x:c>
      <x:c r="K77" s="8" t="str"/>
      <x:c r="L77" s="8" t="str">
        <x:v>Дилеры Dahua, TFortis, TRASSIR, ATEN и ЦМО</x:v>
      </x:c>
    </x:row>
    <x:row r="78" ht="39" customHeight="1">
      <x:c r="A78" s="13" t="str">
        <x:v>N070</x:v>
      </x:c>
      <x:c r="B78" s="13" t="str">
        <x:v>Видеонаблюдение и сетевое оборудование</x:v>
      </x:c>
      <x:c r="C78" s="13" t="str">
        <x:v>КВМ консоль ATEN 17" 8-Port PS/2-USB VGA Single Rail LCD KVM Switch</x:v>
      </x:c>
      <x:c r="D78" s="13" t="str">
        <x:v>шт</x:v>
      </x:c>
      <x:c r="E78" s="15" t="n">
        <x:f>SUMIFS('Строки сметы'!$H$9:$H$267,'Строки сметы'!$A$9:$A$267,$A78)</x:f>
        <x:v>1</x:v>
      </x:c>
      <x:c r="F78" s="14" t="n">
        <x:f>COUNTIFS('Строки сметы'!$A$9:$A$267,$A78)</x:f>
        <x:v>1</x:v>
      </x:c>
      <x:c r="G78" s="14" t="n">
        <x:f>SUMIFS('Строки сметы'!$K$9:$K$267,'Строки сметы'!$A$9:$A$267,$A78)</x:f>
        <x:v>0</x:v>
      </x:c>
      <x:c r="H78" s="14" t="n">
        <x:f>SUMIFS('Строки сметы'!$J$9:$J$267,'Строки сметы'!$A$9:$A$267,$A78)</x:f>
        <x:v>1</x:v>
      </x:c>
      <x:c r="I78" s="13" t="str">
        <x:f>IF(H78=0,"Цена есть",IF(G78&gt;0,"Частично покрыто","Нужно найти"))</x:f>
        <x:v>Нужно найти</x:v>
      </x:c>
      <x:c r="J78" s="13" t="str">
        <x:v>Найти сопоставимую цену</x:v>
      </x:c>
      <x:c r="K78" s="13" t="str">
        <x:v>В смете нет полного артикула ATEN: подтвердить модель с экраном 17 дюймов и 8 портами.</x:v>
      </x:c>
      <x:c r="L78" s="13" t="str">
        <x:v>Дилеры Dahua, TFortis, TRASSIR, ATEN и ЦМО</x:v>
      </x:c>
    </x:row>
    <x:row r="79" ht="39" customHeight="1">
      <x:c r="A79" s="8" t="str">
        <x:v>N071</x:v>
      </x:c>
      <x:c r="B79" s="8" t="str">
        <x:v>Видеонаблюдение и сетевое оборудование</x:v>
      </x:c>
      <x:c r="C79" s="8" t="str">
        <x:v>Карта памяти microSDXC UHS-I U3 Digma 256 ГБ, 90 МБ/с, Class 10, CARD30, 1 шт., переходник SD [dgfca256a03]</x:v>
      </x:c>
      <x:c r="D79" s="8" t="str">
        <x:v>шт</x:v>
      </x:c>
      <x:c r="E79" s="11" t="n">
        <x:f>SUMIFS('Строки сметы'!$H$9:$H$267,'Строки сметы'!$A$9:$A$267,$A79)</x:f>
        <x:v>28</x:v>
      </x:c>
      <x:c r="F79" s="10" t="n">
        <x:f>COUNTIFS('Строки сметы'!$A$9:$A$267,$A79)</x:f>
        <x:v>1</x:v>
      </x:c>
      <x:c r="G79" s="10" t="n">
        <x:f>SUMIFS('Строки сметы'!$K$9:$K$267,'Строки сметы'!$A$9:$A$267,$A79)</x:f>
        <x:v>0</x:v>
      </x:c>
      <x:c r="H79" s="10" t="n">
        <x:f>SUMIFS('Строки сметы'!$J$9:$J$267,'Строки сметы'!$A$9:$A$267,$A79)</x:f>
        <x:v>1</x:v>
      </x:c>
      <x:c r="I79" s="8" t="str">
        <x:f>IF(H79=0,"Цена есть",IF(G79&gt;0,"Частично покрыто","Нужно найти"))</x:f>
        <x:v>Нужно найти</x:v>
      </x:c>
      <x:c r="J79" s="8" t="str">
        <x:v>Найти сопоставимую цену</x:v>
      </x:c>
      <x:c r="K79" s="8" t="str"/>
      <x:c r="L79" s="8" t="str">
        <x:v>Дилеры Dahua, TFortis, TRASSIR, ATEN и ЦМО</x:v>
      </x:c>
    </x:row>
    <x:row r="80" ht="39" customHeight="1">
      <x:c r="A80" s="13" t="str">
        <x:v>N072</x:v>
      </x:c>
      <x:c r="B80" s="13" t="str">
        <x:v>Видеонаблюдение и сетевое оборудование</x:v>
      </x:c>
      <x:c r="C80" s="13" t="str">
        <x:v>Коммутатор Dahua DH-CS4220-16GT-190, управляемый</x:v>
      </x:c>
      <x:c r="D80" s="13" t="str">
        <x:v>шт</x:v>
      </x:c>
      <x:c r="E80" s="15" t="n">
        <x:f>SUMIFS('Строки сметы'!$H$9:$H$267,'Строки сметы'!$A$9:$A$267,$A80)</x:f>
        <x:v>1</x:v>
      </x:c>
      <x:c r="F80" s="14" t="n">
        <x:f>COUNTIFS('Строки сметы'!$A$9:$A$267,$A80)</x:f>
        <x:v>1</x:v>
      </x:c>
      <x:c r="G80" s="14" t="n">
        <x:f>SUMIFS('Строки сметы'!$K$9:$K$267,'Строки сметы'!$A$9:$A$267,$A80)</x:f>
        <x:v>0</x:v>
      </x:c>
      <x:c r="H80" s="14" t="n">
        <x:f>SUMIFS('Строки сметы'!$J$9:$J$267,'Строки сметы'!$A$9:$A$267,$A80)</x:f>
        <x:v>1</x:v>
      </x:c>
      <x:c r="I80" s="13" t="str">
        <x:f>IF(H80=0,"Цена есть",IF(G80&gt;0,"Частично покрыто","Нужно найти"))</x:f>
        <x:v>Нужно найти</x:v>
      </x:c>
      <x:c r="J80" s="13" t="str">
        <x:v>Найти сопоставимую цену</x:v>
      </x:c>
      <x:c r="K80" s="13" t="str"/>
      <x:c r="L80" s="13" t="str">
        <x:v>Дилеры Dahua, TFortis, TRASSIR, ATEN и ЦМО</x:v>
      </x:c>
    </x:row>
    <x:row r="81" ht="39" customHeight="1">
      <x:c r="A81" s="8" t="str">
        <x:v>N073</x:v>
      </x:c>
      <x:c r="B81" s="8" t="str">
        <x:v>Видеонаблюдение и сетевое оборудование</x:v>
      </x:c>
      <x:c r="C81" s="8" t="str">
        <x:v>Коммутатор Tfortis SFP (TBSF-13-3-12gSC-3i 1310+TBSF-15-3-12gSC-3i 1550)</x:v>
      </x:c>
      <x:c r="D81" s="8" t="str">
        <x:v>шт</x:v>
      </x:c>
      <x:c r="E81" s="11" t="n">
        <x:f>SUMIFS('Строки сметы'!$H$9:$H$267,'Строки сметы'!$A$9:$A$267,$A81)</x:f>
        <x:v>6</x:v>
      </x:c>
      <x:c r="F81" s="10" t="n">
        <x:f>COUNTIFS('Строки сметы'!$A$9:$A$267,$A81)</x:f>
        <x:v>1</x:v>
      </x:c>
      <x:c r="G81" s="10" t="n">
        <x:f>SUMIFS('Строки сметы'!$K$9:$K$267,'Строки сметы'!$A$9:$A$267,$A81)</x:f>
        <x:v>0</x:v>
      </x:c>
      <x:c r="H81" s="10" t="n">
        <x:f>SUMIFS('Строки сметы'!$J$9:$J$267,'Строки сметы'!$A$9:$A$267,$A81)</x:f>
        <x:v>1</x:v>
      </x:c>
      <x:c r="I81" s="8" t="str">
        <x:f>IF(H81=0,"Цена есть",IF(G81&gt;0,"Частично покрыто","Нужно найти"))</x:f>
        <x:v>Нужно найти</x:v>
      </x:c>
      <x:c r="J81" s="8" t="str">
        <x:v>Найти сопоставимую цену</x:v>
      </x:c>
      <x:c r="K81" s="8" t="str"/>
      <x:c r="L81" s="8" t="str">
        <x:v>Дилеры Dahua, TFortis, TRASSIR, ATEN и ЦМО</x:v>
      </x:c>
    </x:row>
    <x:row r="82" ht="39" customHeight="1">
      <x:c r="A82" s="13" t="str">
        <x:v>N074</x:v>
      </x:c>
      <x:c r="B82" s="13" t="str">
        <x:v>Видеонаблюдение и сетевое оборудование</x:v>
      </x:c>
      <x:c r="C82" s="13" t="str">
        <x:v>Коннектор 10-0209</x:v>
      </x:c>
      <x:c r="D82" s="13" t="str">
        <x:v>упак</x:v>
      </x:c>
      <x:c r="E82" s="15" t="n">
        <x:f>SUMIFS('Строки сметы'!$H$9:$H$267,'Строки сметы'!$A$9:$A$267,$A82)</x:f>
        <x:v>0.56</x:v>
      </x:c>
      <x:c r="F82" s="14" t="n">
        <x:f>COUNTIFS('Строки сметы'!$A$9:$A$267,$A82)</x:f>
        <x:v>1</x:v>
      </x:c>
      <x:c r="G82" s="14" t="n">
        <x:f>SUMIFS('Строки сметы'!$K$9:$K$267,'Строки сметы'!$A$9:$A$267,$A82)</x:f>
        <x:v>0</x:v>
      </x:c>
      <x:c r="H82" s="14" t="n">
        <x:f>SUMIFS('Строки сметы'!$J$9:$J$267,'Строки сметы'!$A$9:$A$267,$A82)</x:f>
        <x:v>1</x:v>
      </x:c>
      <x:c r="I82" s="13" t="str">
        <x:f>IF(H82=0,"Цена есть",IF(G82&gt;0,"Частично покрыто","Нужно найти"))</x:f>
        <x:v>Нужно найти</x:v>
      </x:c>
      <x:c r="J82" s="13" t="str">
        <x:v>Найти сопоставимую цену</x:v>
      </x:c>
      <x:c r="K82" s="13" t="str">
        <x:v>Уточнить количество штук в упаковке, принятой в смете.</x:v>
      </x:c>
      <x:c r="L82" s="13" t="str">
        <x:v>Дилеры Dahua, TFortis, TRASSIR, ATEN и ЦМО</x:v>
      </x:c>
    </x:row>
    <x:row r="83" ht="39" customHeight="1">
      <x:c r="A83" s="8" t="str">
        <x:v>N075</x:v>
      </x:c>
      <x:c r="B83" s="8" t="str">
        <x:v>Видеонаблюдение и сетевое оборудование</x:v>
      </x:c>
      <x:c r="C83" s="8" t="str">
        <x:v>Оптический бокс (кросс) БОН-19-1-24-В</x:v>
      </x:c>
      <x:c r="D83" s="8" t="str">
        <x:v>шт</x:v>
      </x:c>
      <x:c r="E83" s="11" t="n">
        <x:f>SUMIFS('Строки сметы'!$H$9:$H$267,'Строки сметы'!$A$9:$A$267,$A83)</x:f>
        <x:v>1</x:v>
      </x:c>
      <x:c r="F83" s="10" t="n">
        <x:f>COUNTIFS('Строки сметы'!$A$9:$A$267,$A83)</x:f>
        <x:v>1</x:v>
      </x:c>
      <x:c r="G83" s="10" t="n">
        <x:f>SUMIFS('Строки сметы'!$K$9:$K$267,'Строки сметы'!$A$9:$A$267,$A83)</x:f>
        <x:v>0</x:v>
      </x:c>
      <x:c r="H83" s="10" t="n">
        <x:f>SUMIFS('Строки сметы'!$J$9:$J$267,'Строки сметы'!$A$9:$A$267,$A83)</x:f>
        <x:v>1</x:v>
      </x:c>
      <x:c r="I83" s="8" t="str">
        <x:f>IF(H83=0,"Цена есть",IF(G83&gt;0,"Частично покрыто","Нужно найти"))</x:f>
        <x:v>Нужно найти</x:v>
      </x:c>
      <x:c r="J83" s="8" t="str">
        <x:v>Найти сопоставимую цену</x:v>
      </x:c>
      <x:c r="K83" s="8" t="str"/>
      <x:c r="L83" s="8" t="str">
        <x:v>Дилеры Dahua, TFortis, TRASSIR, ATEN и ЦМО</x:v>
      </x:c>
    </x:row>
    <x:row r="84" ht="39" customHeight="1">
      <x:c r="A84" s="13" t="str">
        <x:v>N076</x:v>
      </x:c>
      <x:c r="B84" s="13" t="str">
        <x:v>Видеонаблюдение и сетевое оборудование</x:v>
      </x:c>
      <x:c r="C84" s="13" t="str">
        <x:v>Сетевой видеорегистратор TRASSIR DuoStation 3432R AF</x:v>
      </x:c>
      <x:c r="D84" s="13" t="str">
        <x:v>шт</x:v>
      </x:c>
      <x:c r="E84" s="15" t="n">
        <x:f>SUMIFS('Строки сметы'!$H$9:$H$267,'Строки сметы'!$A$9:$A$267,$A84)</x:f>
        <x:v>1</x:v>
      </x:c>
      <x:c r="F84" s="14" t="n">
        <x:f>COUNTIFS('Строки сметы'!$A$9:$A$267,$A84)</x:f>
        <x:v>1</x:v>
      </x:c>
      <x:c r="G84" s="14" t="n">
        <x:f>SUMIFS('Строки сметы'!$K$9:$K$267,'Строки сметы'!$A$9:$A$267,$A84)</x:f>
        <x:v>0</x:v>
      </x:c>
      <x:c r="H84" s="14" t="n">
        <x:f>SUMIFS('Строки сметы'!$J$9:$J$267,'Строки сметы'!$A$9:$A$267,$A84)</x:f>
        <x:v>1</x:v>
      </x:c>
      <x:c r="I84" s="13" t="str">
        <x:f>IF(H84=0,"Цена есть",IF(G84&gt;0,"Частично покрыто","Нужно найти"))</x:f>
        <x:v>Нужно найти</x:v>
      </x:c>
      <x:c r="J84" s="13" t="str">
        <x:v>Найти сопоставимую цену</x:v>
      </x:c>
      <x:c r="K84" s="13" t="str"/>
      <x:c r="L84" s="13" t="str">
        <x:v>Дилеры Dahua, TFortis, TRASSIR, ATEN и ЦМО</x:v>
      </x:c>
    </x:row>
    <x:row r="85" ht="39" customHeight="1">
      <x:c r="A85" s="8" t="str">
        <x:v>N077</x:v>
      </x:c>
      <x:c r="B85" s="8" t="str">
        <x:v>Видеонаблюдение и сетевое оборудование</x:v>
      </x:c>
      <x:c r="C85" s="8" t="str">
        <x:v>IP-камера Dahua DH-IPC-HDBW3441FP-AS-0280B-S2</x:v>
      </x:c>
      <x:c r="D85" s="8" t="str">
        <x:v>шт</x:v>
      </x:c>
      <x:c r="E85" s="11" t="n">
        <x:f>SUMIFS('Строки сметы'!$H$9:$H$267,'Строки сметы'!$A$9:$A$267,$A85)</x:f>
        <x:v>28</x:v>
      </x:c>
      <x:c r="F85" s="10" t="n">
        <x:f>COUNTIFS('Строки сметы'!$A$9:$A$267,$A85)</x:f>
        <x:v>1</x:v>
      </x:c>
      <x:c r="G85" s="10" t="n">
        <x:f>SUMIFS('Строки сметы'!$K$9:$K$267,'Строки сметы'!$A$9:$A$267,$A85)</x:f>
        <x:v>1</x:v>
      </x:c>
      <x:c r="H85" s="10" t="n">
        <x:f>SUMIFS('Строки сметы'!$J$9:$J$267,'Строки сметы'!$A$9:$A$267,$A85)</x:f>
        <x:v>0</x:v>
      </x:c>
      <x:c r="I85" s="8" t="str">
        <x:f>IF(H85=0,"Цена есть",IF(G85&gt;0,"Частично покрыто","Нужно найти"))</x:f>
        <x:v>Цена есть</x:v>
      </x:c>
      <x:c r="J85" s="8" t="str">
        <x:v>Сохранять актуальность найденной цены</x:v>
      </x:c>
      <x:c r="K85" s="8" t="str"/>
      <x:c r="L85" s="8" t="str">
        <x:v>Дилеры Dahua, TFortis, TRASSIR, ATEN и ЦМО</x:v>
      </x:c>
    </x:row>
    <x:row r="86" ht="39" customHeight="1">
      <x:c r="A86" s="13" t="str">
        <x:v>N078</x:v>
      </x:c>
      <x:c r="B86" s="13" t="str">
        <x:v>Видеонаблюдение и сетевое оборудование</x:v>
      </x:c>
      <x:c r="C86" s="13" t="str">
        <x:v>Жесткий диск HDD 8000 GB (8 TB) SATA-III Purple (WD85PURZ)</x:v>
      </x:c>
      <x:c r="D86" s="13" t="str">
        <x:v>шт</x:v>
      </x:c>
      <x:c r="E86" s="15" t="n">
        <x:f>SUMIFS('Строки сметы'!$H$9:$H$267,'Строки сметы'!$A$9:$A$267,$A86)</x:f>
        <x:v>4</x:v>
      </x:c>
      <x:c r="F86" s="14" t="n">
        <x:f>COUNTIFS('Строки сметы'!$A$9:$A$267,$A86)</x:f>
        <x:v>1</x:v>
      </x:c>
      <x:c r="G86" s="14" t="n">
        <x:f>SUMIFS('Строки сметы'!$K$9:$K$267,'Строки сметы'!$A$9:$A$267,$A86)</x:f>
        <x:v>1</x:v>
      </x:c>
      <x:c r="H86" s="14" t="n">
        <x:f>SUMIFS('Строки сметы'!$J$9:$J$267,'Строки сметы'!$A$9:$A$267,$A86)</x:f>
        <x:v>0</x:v>
      </x:c>
      <x:c r="I86" s="13" t="str">
        <x:f>IF(H86=0,"Цена есть",IF(G86&gt;0,"Частично покрыто","Нужно найти"))</x:f>
        <x:v>Цена есть</x:v>
      </x:c>
      <x:c r="J86" s="13" t="str">
        <x:v>Сохранять актуальность найденной цены</x:v>
      </x:c>
      <x:c r="K86" s="13" t="str"/>
      <x:c r="L86" s="13" t="str">
        <x:v>Дилеры Dahua, TFortis, TRASSIR, ATEN и ЦМО</x:v>
      </x:c>
    </x:row>
    <x:row r="87" ht="39" customHeight="1">
      <x:c r="A87" s="8" t="str">
        <x:v>N079</x:v>
      </x:c>
      <x:c r="B87" s="8" t="str">
        <x:v>Видеонаблюдение и сетевое оборудование</x:v>
      </x:c>
      <x:c r="C87" s="8" t="str">
        <x:v>Коммутатор TFortis PSW-2G8F+</x:v>
      </x:c>
      <x:c r="D87" s="8" t="str">
        <x:v>шт</x:v>
      </x:c>
      <x:c r="E87" s="11" t="n">
        <x:f>SUMIFS('Строки сметы'!$H$9:$H$267,'Строки сметы'!$A$9:$A$267,$A87)</x:f>
        <x:v>4</x:v>
      </x:c>
      <x:c r="F87" s="10" t="n">
        <x:f>COUNTIFS('Строки сметы'!$A$9:$A$267,$A87)</x:f>
        <x:v>1</x:v>
      </x:c>
      <x:c r="G87" s="10" t="n">
        <x:f>SUMIFS('Строки сметы'!$K$9:$K$267,'Строки сметы'!$A$9:$A$267,$A87)</x:f>
        <x:v>1</x:v>
      </x:c>
      <x:c r="H87" s="10" t="n">
        <x:f>SUMIFS('Строки сметы'!$J$9:$J$267,'Строки сметы'!$A$9:$A$267,$A87)</x:f>
        <x:v>0</x:v>
      </x:c>
      <x:c r="I87" s="8" t="str">
        <x:f>IF(H87=0,"Цена есть",IF(G87&gt;0,"Частично покрыто","Нужно найти"))</x:f>
        <x:v>Цена есть</x:v>
      </x:c>
      <x:c r="J87" s="8" t="str">
        <x:v>Сохранять актуальность найденной цены</x:v>
      </x:c>
      <x:c r="K87" s="8" t="str"/>
      <x:c r="L87" s="8" t="str">
        <x:v>Дилеры Dahua, TFortis, TRASSIR, ATEN и ЦМО</x:v>
      </x:c>
    </x:row>
    <x:row r="88" ht="39" customHeight="1">
      <x:c r="A88" s="13" t="str">
        <x:v>N080</x:v>
      </x:c>
      <x:c r="B88" s="13" t="str">
        <x:v>Видеонаблюдение и сетевое оборудование</x:v>
      </x:c>
      <x:c r="C88" s="13" t="str">
        <x:v>Коммутатор TFortis SWU-16T</x:v>
      </x:c>
      <x:c r="D88" s="13" t="str">
        <x:v>шт</x:v>
      </x:c>
      <x:c r="E88" s="15" t="n">
        <x:f>SUMIFS('Строки сметы'!$H$9:$H$267,'Строки сметы'!$A$9:$A$267,$A88)</x:f>
        <x:v>1</x:v>
      </x:c>
      <x:c r="F88" s="14" t="n">
        <x:f>COUNTIFS('Строки сметы'!$A$9:$A$267,$A88)</x:f>
        <x:v>1</x:v>
      </x:c>
      <x:c r="G88" s="14" t="n">
        <x:f>SUMIFS('Строки сметы'!$K$9:$K$267,'Строки сметы'!$A$9:$A$267,$A88)</x:f>
        <x:v>1</x:v>
      </x:c>
      <x:c r="H88" s="14" t="n">
        <x:f>SUMIFS('Строки сметы'!$J$9:$J$267,'Строки сметы'!$A$9:$A$267,$A88)</x:f>
        <x:v>0</x:v>
      </x:c>
      <x:c r="I88" s="13" t="str">
        <x:f>IF(H88=0,"Цена есть",IF(G88&gt;0,"Частично покрыто","Нужно найти"))</x:f>
        <x:v>Цена есть</x:v>
      </x:c>
      <x:c r="J88" s="13" t="str">
        <x:v>Сохранять актуальность найденной цены</x:v>
      </x:c>
      <x:c r="K88" s="13" t="str"/>
      <x:c r="L88" s="13" t="str">
        <x:v>Дилеры Dahua, TFortis, TRASSIR, ATEN и ЦМО</x:v>
      </x:c>
    </x:row>
    <x:row r="89" ht="39" customHeight="1">
      <x:c r="A89" s="8" t="str">
        <x:v>N081</x:v>
      </x:c>
      <x:c r="B89" s="8" t="str">
        <x:v>Видеонаблюдение и сетевое оборудование</x:v>
      </x:c>
      <x:c r="C89" s="8" t="str">
        <x:v>Монтажная коробка Dahua DH-PFA136</x:v>
      </x:c>
      <x:c r="D89" s="8" t="str">
        <x:v>шт</x:v>
      </x:c>
      <x:c r="E89" s="11" t="n">
        <x:f>SUMIFS('Строки сметы'!$H$9:$H$267,'Строки сметы'!$A$9:$A$267,$A89)</x:f>
        <x:v>28</x:v>
      </x:c>
      <x:c r="F89" s="10" t="n">
        <x:f>COUNTIFS('Строки сметы'!$A$9:$A$267,$A89)</x:f>
        <x:v>1</x:v>
      </x:c>
      <x:c r="G89" s="10" t="n">
        <x:f>SUMIFS('Строки сметы'!$K$9:$K$267,'Строки сметы'!$A$9:$A$267,$A89)</x:f>
        <x:v>1</x:v>
      </x:c>
      <x:c r="H89" s="10" t="n">
        <x:f>SUMIFS('Строки сметы'!$J$9:$J$267,'Строки сметы'!$A$9:$A$267,$A89)</x:f>
        <x:v>0</x:v>
      </x:c>
      <x:c r="I89" s="8" t="str">
        <x:f>IF(H89=0,"Цена есть",IF(G89&gt;0,"Частично покрыто","Нужно найти"))</x:f>
        <x:v>Цена есть</x:v>
      </x:c>
      <x:c r="J89" s="8" t="str">
        <x:v>Сохранять актуальность найденной цены</x:v>
      </x:c>
      <x:c r="K89" s="8" t="str"/>
      <x:c r="L89" s="8" t="str">
        <x:v>Дилеры Dahua, TFortis, TRASSIR, ATEN и ЦМО</x:v>
      </x:c>
    </x:row>
    <x:row r="90" ht="39" customHeight="1">
      <x:c r="A90" s="13" t="str">
        <x:v>N082</x:v>
      </x:c>
      <x:c r="B90" s="13" t="str">
        <x:v>Видеонаблюдение и сетевое оборудование</x:v>
      </x:c>
      <x:c r="C90" s="13" t="str">
        <x:v>Панель с DIN-рейкой КП-АВ-9005</x:v>
      </x:c>
      <x:c r="D90" s="13" t="str">
        <x:v>шт</x:v>
      </x:c>
      <x:c r="E90" s="15" t="n">
        <x:f>SUMIFS('Строки сметы'!$H$9:$H$267,'Строки сметы'!$A$9:$A$267,$A90)</x:f>
        <x:v>1</x:v>
      </x:c>
      <x:c r="F90" s="14" t="n">
        <x:f>COUNTIFS('Строки сметы'!$A$9:$A$267,$A90)</x:f>
        <x:v>1</x:v>
      </x:c>
      <x:c r="G90" s="14" t="n">
        <x:f>SUMIFS('Строки сметы'!$K$9:$K$267,'Строки сметы'!$A$9:$A$267,$A90)</x:f>
        <x:v>1</x:v>
      </x:c>
      <x:c r="H90" s="14" t="n">
        <x:f>SUMIFS('Строки сметы'!$J$9:$J$267,'Строки сметы'!$A$9:$A$267,$A90)</x:f>
        <x:v>0</x:v>
      </x:c>
      <x:c r="I90" s="13" t="str">
        <x:f>IF(H90=0,"Цена есть",IF(G90&gt;0,"Частично покрыто","Нужно найти"))</x:f>
        <x:v>Цена есть</x:v>
      </x:c>
      <x:c r="J90" s="13" t="str">
        <x:v>Сохранять актуальность найденной цены</x:v>
      </x:c>
      <x:c r="K90" s="13" t="str"/>
      <x:c r="L90" s="13" t="str">
        <x:v>Дилеры Dahua, TFortis, TRASSIR, ATEN и ЦМО</x:v>
      </x:c>
    </x:row>
    <x:row r="91" ht="39" customHeight="1">
      <x:c r="A91" s="8" t="str">
        <x:v>N083</x:v>
      </x:c>
      <x:c r="B91" s="8" t="str">
        <x:v>Видеонаблюдение и сетевое оборудование</x:v>
      </x:c>
      <x:c r="C91" s="8" t="str">
        <x:v>Телекоммуникационный настенный шкаф ЦМО 19, 12U, дверь: металл, разборный, серый ШРН-Э-12.650.1</x:v>
      </x:c>
      <x:c r="D91" s="8" t="str">
        <x:v>шт</x:v>
      </x:c>
      <x:c r="E91" s="11" t="n">
        <x:f>SUMIFS('Строки сметы'!$H$9:$H$267,'Строки сметы'!$A$9:$A$267,$A91)</x:f>
        <x:v>1</x:v>
      </x:c>
      <x:c r="F91" s="10" t="n">
        <x:f>COUNTIFS('Строки сметы'!$A$9:$A$267,$A91)</x:f>
        <x:v>1</x:v>
      </x:c>
      <x:c r="G91" s="10" t="n">
        <x:f>SUMIFS('Строки сметы'!$K$9:$K$267,'Строки сметы'!$A$9:$A$267,$A91)</x:f>
        <x:v>1</x:v>
      </x:c>
      <x:c r="H91" s="10" t="n">
        <x:f>SUMIFS('Строки сметы'!$J$9:$J$267,'Строки сметы'!$A$9:$A$267,$A91)</x:f>
        <x:v>0</x:v>
      </x:c>
      <x:c r="I91" s="8" t="str">
        <x:f>IF(H91=0,"Цена есть",IF(G91&gt;0,"Частично покрыто","Нужно найти"))</x:f>
        <x:v>Цена есть</x:v>
      </x:c>
      <x:c r="J91" s="8" t="str">
        <x:v>Сохранять актуальность найденной цены</x:v>
      </x:c>
      <x:c r="K91" s="8" t="str"/>
      <x:c r="L91" s="8" t="str">
        <x:v>Дилеры Dahua, TFortis, TRASSIR, ATEN и ЦМО</x:v>
      </x:c>
    </x:row>
    <x:row r="92" ht="39" customHeight="1">
      <x:c r="A92" s="13" t="str">
        <x:v>N084</x:v>
      </x:c>
      <x:c r="B92" s="13" t="str">
        <x:v>Земляные работы</x:v>
      </x:c>
      <x:c r="C92" s="13" t="str">
        <x:v>Уплотнение грунта пневматическими трамбовками, группа грунтов: 1-2</x:v>
      </x:c>
      <x:c r="D92" s="13" t="str">
        <x:v>м³</x:v>
      </x:c>
      <x:c r="E92" s="15" t="n">
        <x:f>SUMIFS('Строки сметы'!$H$9:$H$267,'Строки сметы'!$A$9:$A$267,$A92)</x:f>
        <x:v>55.08</x:v>
      </x:c>
      <x:c r="F92" s="14" t="n">
        <x:f>COUNTIFS('Строки сметы'!$A$9:$A$267,$A92)</x:f>
        <x:v>3</x:v>
      </x:c>
      <x:c r="G92" s="14" t="n">
        <x:f>SUMIFS('Строки сметы'!$K$9:$K$267,'Строки сметы'!$A$9:$A$267,$A92)</x:f>
        <x:v>0</x:v>
      </x:c>
      <x:c r="H92" s="14" t="n">
        <x:f>SUMIFS('Строки сметы'!$J$9:$J$267,'Строки сметы'!$A$9:$A$267,$A92)</x:f>
        <x:v>3</x:v>
      </x:c>
      <x:c r="I92" s="13" t="str">
        <x:f>IF(H92=0,"Цена есть",IF(G92&gt;0,"Частично покрыто","Нужно найти"))</x:f>
        <x:v>Нужно найти</x:v>
      </x:c>
      <x:c r="J92" s="13" t="str">
        <x:v>Найти сопоставимую цену</x:v>
      </x:c>
      <x:c r="K92" s="13" t="str"/>
      <x:c r="L92" s="13" t="str">
        <x:v>Местные земляные подрядчики и владельцы спецтехники</x:v>
      </x:c>
    </x:row>
    <x:row r="93" ht="39" customHeight="1">
      <x:c r="A93" s="8" t="str">
        <x:v>N085</x:v>
      </x:c>
      <x:c r="B93" s="8" t="str">
        <x:v>Земляные работы</x:v>
      </x:c>
      <x:c r="C93" s="8" t="str">
        <x:v>Засыпка траншей и котлованов с перемещением грунта до 5 м бульдозерами мощностью: 59 кВт (80 л.с.), группа грунтов 1 - грунт</x:v>
      </x:c>
      <x:c r="D93" s="8" t="str">
        <x:v>м³</x:v>
      </x:c>
      <x:c r="E93" s="11" t="n">
        <x:f>SUMIFS('Строки сметы'!$H$9:$H$267,'Строки сметы'!$A$9:$A$267,$A93)</x:f>
        <x:v>242.24</x:v>
      </x:c>
      <x:c r="F93" s="10" t="n">
        <x:f>COUNTIFS('Строки сметы'!$A$9:$A$267,$A93)</x:f>
        <x:v>2</x:v>
      </x:c>
      <x:c r="G93" s="10" t="n">
        <x:f>SUMIFS('Строки сметы'!$K$9:$K$267,'Строки сметы'!$A$9:$A$267,$A93)</x:f>
        <x:v>0</x:v>
      </x:c>
      <x:c r="H93" s="10" t="n">
        <x:f>SUMIFS('Строки сметы'!$J$9:$J$267,'Строки сметы'!$A$9:$A$267,$A93)</x:f>
        <x:v>2</x:v>
      </x:c>
      <x:c r="I93" s="8" t="str">
        <x:f>IF(H93=0,"Цена есть",IF(G93&gt;0,"Частично покрыто","Нужно найти"))</x:f>
        <x:v>Нужно найти</x:v>
      </x:c>
      <x:c r="J93" s="8" t="str">
        <x:v>Найти сопоставимую цену</x:v>
      </x:c>
      <x:c r="K93" s="8" t="str"/>
      <x:c r="L93" s="8" t="str">
        <x:v>Местные земляные подрядчики и владельцы спецтехники</x:v>
      </x:c>
    </x:row>
    <x:row r="94" ht="39" customHeight="1">
      <x:c r="A94" s="13" t="str">
        <x:v>N086</x:v>
      </x:c>
      <x:c r="B94" s="13" t="str">
        <x:v>Земляные работы</x:v>
      </x:c>
      <x:c r="C94" s="13" t="str">
        <x:v>Засыпка траншей и котлованов с перемещением грунта до 5 м бульдозерами мощностью: 59 кВт (80 л.с.), группа грунтов 1 - песком</x:v>
      </x:c>
      <x:c r="D94" s="13" t="str">
        <x:v>м³</x:v>
      </x:c>
      <x:c r="E94" s="15" t="n">
        <x:f>SUMIFS('Строки сметы'!$H$9:$H$267,'Строки сметы'!$A$9:$A$267,$A94)</x:f>
        <x:v>9.16</x:v>
      </x:c>
      <x:c r="F94" s="14" t="n">
        <x:f>COUNTIFS('Строки сметы'!$A$9:$A$267,$A94)</x:f>
        <x:v>2</x:v>
      </x:c>
      <x:c r="G94" s="14" t="n">
        <x:f>SUMIFS('Строки сметы'!$K$9:$K$267,'Строки сметы'!$A$9:$A$267,$A94)</x:f>
        <x:v>0</x:v>
      </x:c>
      <x:c r="H94" s="14" t="n">
        <x:f>SUMIFS('Строки сметы'!$J$9:$J$267,'Строки сметы'!$A$9:$A$267,$A94)</x:f>
        <x:v>2</x:v>
      </x:c>
      <x:c r="I94" s="13" t="str">
        <x:f>IF(H94=0,"Цена есть",IF(G94&gt;0,"Частично покрыто","Нужно найти"))</x:f>
        <x:v>Нужно найти</x:v>
      </x:c>
      <x:c r="J94" s="13" t="str">
        <x:v>Найти сопоставимую цену</x:v>
      </x:c>
      <x:c r="K94" s="13" t="str"/>
      <x:c r="L94" s="13" t="str">
        <x:v>Местные земляные подрядчики и владельцы спецтехники</x:v>
      </x:c>
    </x:row>
    <x:row r="95" ht="39" customHeight="1">
      <x:c r="A95" s="8" t="str">
        <x:v>N087</x:v>
      </x:c>
      <x:c r="B95" s="8" t="str">
        <x:v>Земляные работы</x:v>
      </x:c>
      <x:c r="C95" s="8" t="str">
        <x:v>Планировка площадей: ручным способом, группа грунтов 1</x:v>
      </x:c>
      <x:c r="D95" s="8" t="str">
        <x:v>м²</x:v>
      </x:c>
      <x:c r="E95" s="11" t="n">
        <x:f>SUMIFS('Строки сметы'!$H$9:$H$267,'Строки сметы'!$A$9:$A$267,$A95)</x:f>
        <x:v>2017.58</x:v>
      </x:c>
      <x:c r="F95" s="10" t="n">
        <x:f>COUNTIFS('Строки сметы'!$A$9:$A$267,$A95)</x:f>
        <x:v>2</x:v>
      </x:c>
      <x:c r="G95" s="10" t="n">
        <x:f>SUMIFS('Строки сметы'!$K$9:$K$267,'Строки сметы'!$A$9:$A$267,$A95)</x:f>
        <x:v>0</x:v>
      </x:c>
      <x:c r="H95" s="10" t="n">
        <x:f>SUMIFS('Строки сметы'!$J$9:$J$267,'Строки сметы'!$A$9:$A$267,$A95)</x:f>
        <x:v>2</x:v>
      </x:c>
      <x:c r="I95" s="8" t="str">
        <x:f>IF(H95=0,"Цена есть",IF(G95&gt;0,"Частично покрыто","Нужно найти"))</x:f>
        <x:v>Нужно найти</x:v>
      </x:c>
      <x:c r="J95" s="8" t="str">
        <x:v>Найти сопоставимую цену</x:v>
      </x:c>
      <x:c r="K95" s="8" t="str"/>
      <x:c r="L95" s="8" t="str">
        <x:v>Местные земляные подрядчики и владельцы спецтехники</x:v>
      </x:c>
    </x:row>
    <x:row r="96" ht="54" customHeight="1">
      <x:c r="A96" s="13" t="str">
        <x:v>N088</x:v>
      </x:c>
      <x:c r="B96" s="13" t="str">
        <x:v>Земляные работы</x:v>
      </x:c>
      <x:c r="C96" s="13" t="str">
        <x:v>Разработка грунта с погрузкой на автомобили-самосвалы в траншеях экскаватором «обратная лопата» с ковшом вместимостью 0,25 м3, группа грунтов: 2</x:v>
      </x:c>
      <x:c r="D96" s="13" t="str">
        <x:v>м³</x:v>
      </x:c>
      <x:c r="E96" s="15" t="n">
        <x:f>SUMIFS('Строки сметы'!$H$9:$H$267,'Строки сметы'!$A$9:$A$267,$A96)</x:f>
        <x:v>134.85999999999999</x:v>
      </x:c>
      <x:c r="F96" s="14" t="n">
        <x:f>COUNTIFS('Строки сметы'!$A$9:$A$267,$A96)</x:f>
        <x:v>2</x:v>
      </x:c>
      <x:c r="G96" s="14" t="n">
        <x:f>SUMIFS('Строки сметы'!$K$9:$K$267,'Строки сметы'!$A$9:$A$267,$A96)</x:f>
        <x:v>0</x:v>
      </x:c>
      <x:c r="H96" s="14" t="n">
        <x:f>SUMIFS('Строки сметы'!$J$9:$J$267,'Строки сметы'!$A$9:$A$267,$A96)</x:f>
        <x:v>2</x:v>
      </x:c>
      <x:c r="I96" s="13" t="str">
        <x:f>IF(H96=0,"Цена есть",IF(G96&gt;0,"Частично покрыто","Нужно найти"))</x:f>
        <x:v>Нужно найти</x:v>
      </x:c>
      <x:c r="J96" s="13" t="str">
        <x:v>Найти сопоставимую цену</x:v>
      </x:c>
      <x:c r="K96" s="13" t="str"/>
      <x:c r="L96" s="13" t="str">
        <x:v>Местные земляные подрядчики и владельцы спецтехники</x:v>
      </x:c>
    </x:row>
    <x:row r="97" ht="39" customHeight="1">
      <x:c r="A97" s="8" t="str">
        <x:v>N089</x:v>
      </x:c>
      <x:c r="B97" s="8" t="str">
        <x:v>Земляные работы</x:v>
      </x:c>
      <x:c r="C97" s="8" t="str">
        <x:v>Бурение ям глубиной до 2 м бурильно-крановыми машинами: на автомобиле, группа грунтов 2</x:v>
      </x:c>
      <x:c r="D97" s="8" t="str">
        <x:v>шт</x:v>
      </x:c>
      <x:c r="E97" s="11" t="n">
        <x:f>SUMIFS('Строки сметы'!$H$9:$H$267,'Строки сметы'!$A$9:$A$267,$A97)</x:f>
        <x:v>43</x:v>
      </x:c>
      <x:c r="F97" s="10" t="n">
        <x:f>COUNTIFS('Строки сметы'!$A$9:$A$267,$A97)</x:f>
        <x:v>1</x:v>
      </x:c>
      <x:c r="G97" s="10" t="n">
        <x:f>SUMIFS('Строки сметы'!$K$9:$K$267,'Строки сметы'!$A$9:$A$267,$A97)</x:f>
        <x:v>0</x:v>
      </x:c>
      <x:c r="H97" s="10" t="n">
        <x:f>SUMIFS('Строки сметы'!$J$9:$J$267,'Строки сметы'!$A$9:$A$267,$A97)</x:f>
        <x:v>1</x:v>
      </x:c>
      <x:c r="I97" s="8" t="str">
        <x:f>IF(H97=0,"Цена есть",IF(G97&gt;0,"Частично покрыто","Нужно найти"))</x:f>
        <x:v>Нужно найти</x:v>
      </x:c>
      <x:c r="J97" s="8" t="str">
        <x:v>Найти сопоставимую цену</x:v>
      </x:c>
      <x:c r="K97" s="8" t="str"/>
      <x:c r="L97" s="8" t="str">
        <x:v>Местные земляные подрядчики и владельцы спецтехники</x:v>
      </x:c>
    </x:row>
    <x:row r="98" ht="39" customHeight="1">
      <x:c r="A98" s="13" t="str">
        <x:v>N090</x:v>
      </x:c>
      <x:c r="B98" s="13" t="str">
        <x:v>Земляные работы</x:v>
      </x:c>
      <x:c r="C98" s="13" t="str">
        <x:v>Планировка площадей: механизированным способом, группа грунтов 1</x:v>
      </x:c>
      <x:c r="D98" s="13" t="str">
        <x:v>м²</x:v>
      </x:c>
      <x:c r="E98" s="15" t="n">
        <x:f>SUMIFS('Строки сметы'!$H$9:$H$267,'Строки сметы'!$A$9:$A$267,$A98)</x:f>
        <x:v>3585.82</x:v>
      </x:c>
      <x:c r="F98" s="14" t="n">
        <x:f>COUNTIFS('Строки сметы'!$A$9:$A$267,$A98)</x:f>
        <x:v>1</x:v>
      </x:c>
      <x:c r="G98" s="14" t="n">
        <x:f>SUMIFS('Строки сметы'!$K$9:$K$267,'Строки сметы'!$A$9:$A$267,$A98)</x:f>
        <x:v>0</x:v>
      </x:c>
      <x:c r="H98" s="14" t="n">
        <x:f>SUMIFS('Строки сметы'!$J$9:$J$267,'Строки сметы'!$A$9:$A$267,$A98)</x:f>
        <x:v>1</x:v>
      </x:c>
      <x:c r="I98" s="13" t="str">
        <x:f>IF(H98=0,"Цена есть",IF(G98&gt;0,"Частично покрыто","Нужно найти"))</x:f>
        <x:v>Нужно найти</x:v>
      </x:c>
      <x:c r="J98" s="13" t="str">
        <x:v>Найти сопоставимую цену</x:v>
      </x:c>
      <x:c r="K98" s="13" t="str"/>
      <x:c r="L98" s="13" t="str">
        <x:v>Местные земляные подрядчики и владельцы спецтехники</x:v>
      </x:c>
    </x:row>
    <x:row r="99" ht="39" customHeight="1">
      <x:c r="A99" s="8" t="str">
        <x:v>N091</x:v>
      </x:c>
      <x:c r="B99" s="8" t="str">
        <x:v>Земляные работы</x:v>
      </x:c>
      <x:c r="C99" s="8" t="str">
        <x:v>Планировка площадей: ручным способом, группа грунтов 2 - щебень</x:v>
      </x:c>
      <x:c r="D99" s="8" t="str">
        <x:v>м²</x:v>
      </x:c>
      <x:c r="E99" s="11" t="n">
        <x:f>SUMIFS('Строки сметы'!$H$9:$H$267,'Строки сметы'!$A$9:$A$267,$A99)</x:f>
        <x:v>459.2</x:v>
      </x:c>
      <x:c r="F99" s="10" t="n">
        <x:f>COUNTIFS('Строки сметы'!$A$9:$A$267,$A99)</x:f>
        <x:v>1</x:v>
      </x:c>
      <x:c r="G99" s="10" t="n">
        <x:f>SUMIFS('Строки сметы'!$K$9:$K$267,'Строки сметы'!$A$9:$A$267,$A99)</x:f>
        <x:v>0</x:v>
      </x:c>
      <x:c r="H99" s="10" t="n">
        <x:f>SUMIFS('Строки сметы'!$J$9:$J$267,'Строки сметы'!$A$9:$A$267,$A99)</x:f>
        <x:v>1</x:v>
      </x:c>
      <x:c r="I99" s="8" t="str">
        <x:f>IF(H99=0,"Цена есть",IF(G99&gt;0,"Частично покрыто","Нужно найти"))</x:f>
        <x:v>Нужно найти</x:v>
      </x:c>
      <x:c r="J99" s="8" t="str">
        <x:v>Найти сопоставимую цену</x:v>
      </x:c>
      <x:c r="K99" s="8" t="str"/>
      <x:c r="L99" s="8" t="str">
        <x:v>Местные земляные подрядчики и владельцы спецтехники</x:v>
      </x:c>
    </x:row>
    <x:row r="100" ht="39" customHeight="1">
      <x:c r="A100" s="13" t="str">
        <x:v>N092</x:v>
      </x:c>
      <x:c r="B100" s="13" t="str">
        <x:v>Земляные работы</x:v>
      </x:c>
      <x:c r="C100" s="13" t="str">
        <x:v>Разработка грунта с перемещением до 10 м бульдозерами мощностью: 59 кВт (80 л.с.), группа грунтов 1</x:v>
      </x:c>
      <x:c r="D100" s="13" t="str">
        <x:v>м³</x:v>
      </x:c>
      <x:c r="E100" s="15" t="n">
        <x:f>SUMIFS('Строки сметы'!$H$9:$H$267,'Строки сметы'!$A$9:$A$267,$A100)</x:f>
        <x:v>48.08</x:v>
      </x:c>
      <x:c r="F100" s="14" t="n">
        <x:f>COUNTIFS('Строки сметы'!$A$9:$A$267,$A100)</x:f>
        <x:v>1</x:v>
      </x:c>
      <x:c r="G100" s="14" t="n">
        <x:f>SUMIFS('Строки сметы'!$K$9:$K$267,'Строки сметы'!$A$9:$A$267,$A100)</x:f>
        <x:v>0</x:v>
      </x:c>
      <x:c r="H100" s="14" t="n">
        <x:f>SUMIFS('Строки сметы'!$J$9:$J$267,'Строки сметы'!$A$9:$A$267,$A100)</x:f>
        <x:v>1</x:v>
      </x:c>
      <x:c r="I100" s="13" t="str">
        <x:f>IF(H100=0,"Цена есть",IF(G100&gt;0,"Частично покрыто","Нужно найти"))</x:f>
        <x:v>Нужно найти</x:v>
      </x:c>
      <x:c r="J100" s="13" t="str">
        <x:v>Найти сопоставимую цену</x:v>
      </x:c>
      <x:c r="K100" s="13" t="str"/>
      <x:c r="L100" s="13" t="str">
        <x:v>Местные земляные подрядчики и владельцы спецтехники</x:v>
      </x:c>
    </x:row>
    <x:row r="101" ht="54" customHeight="1">
      <x:c r="A101" s="8" t="str">
        <x:v>N093</x:v>
      </x:c>
      <x:c r="B101" s="8" t="str">
        <x:v>Земляные работы</x:v>
      </x:c>
      <x:c r="C101" s="8" t="str">
        <x:v>Разработка грунта с погрузкой на автомобили-самосвалы в траншеях экскаватором «обратная лопата» с ковшом вместимостью 0,5 (0,5-0,63) м3, группа грунтов: 2</x:v>
      </x:c>
      <x:c r="D101" s="8" t="str">
        <x:v>м³</x:v>
      </x:c>
      <x:c r="E101" s="11" t="n">
        <x:f>SUMIFS('Строки сметы'!$H$9:$H$267,'Строки сметы'!$A$9:$A$267,$A101)</x:f>
        <x:v>2080.7400000000002</x:v>
      </x:c>
      <x:c r="F101" s="10" t="n">
        <x:f>COUNTIFS('Строки сметы'!$A$9:$A$267,$A101)</x:f>
        <x:v>1</x:v>
      </x:c>
      <x:c r="G101" s="10" t="n">
        <x:f>SUMIFS('Строки сметы'!$K$9:$K$267,'Строки сметы'!$A$9:$A$267,$A101)</x:f>
        <x:v>0</x:v>
      </x:c>
      <x:c r="H101" s="10" t="n">
        <x:f>SUMIFS('Строки сметы'!$J$9:$J$267,'Строки сметы'!$A$9:$A$267,$A101)</x:f>
        <x:v>1</x:v>
      </x:c>
      <x:c r="I101" s="8" t="str">
        <x:f>IF(H101=0,"Цена есть",IF(G101&gt;0,"Частично покрыто","Нужно найти"))</x:f>
        <x:v>Нужно найти</x:v>
      </x:c>
      <x:c r="J101" s="8" t="str">
        <x:v>Найти сопоставимую цену</x:v>
      </x:c>
      <x:c r="K101" s="8" t="str"/>
      <x:c r="L101" s="8" t="str">
        <x:v>Местные земляные подрядчики и владельцы спецтехники</x:v>
      </x:c>
    </x:row>
    <x:row r="102" ht="39" customHeight="1">
      <x:c r="A102" s="13" t="str">
        <x:v>N094</x:v>
      </x:c>
      <x:c r="B102" s="13" t="str">
        <x:v>Земляные работы</x:v>
      </x:c>
      <x:c r="C102" s="13" t="str">
        <x:v>Разработка траншей экскаватором «обратная лопата» с ковшом вместимостью 0,25 м3, группа грунтов: 1</x:v>
      </x:c>
      <x:c r="D102" s="13" t="str">
        <x:v>м³</x:v>
      </x:c>
      <x:c r="E102" s="15" t="n">
        <x:f>SUMIFS('Строки сметы'!$H$9:$H$267,'Строки сметы'!$A$9:$A$267,$A102)</x:f>
        <x:v>1.5</x:v>
      </x:c>
      <x:c r="F102" s="14" t="n">
        <x:f>COUNTIFS('Строки сметы'!$A$9:$A$267,$A102)</x:f>
        <x:v>1</x:v>
      </x:c>
      <x:c r="G102" s="14" t="n">
        <x:f>SUMIFS('Строки сметы'!$K$9:$K$267,'Строки сметы'!$A$9:$A$267,$A102)</x:f>
        <x:v>0</x:v>
      </x:c>
      <x:c r="H102" s="14" t="n">
        <x:f>SUMIFS('Строки сметы'!$J$9:$J$267,'Строки сметы'!$A$9:$A$267,$A102)</x:f>
        <x:v>1</x:v>
      </x:c>
      <x:c r="I102" s="13" t="str">
        <x:f>IF(H102=0,"Цена есть",IF(G102&gt;0,"Частично покрыто","Нужно найти"))</x:f>
        <x:v>Нужно найти</x:v>
      </x:c>
      <x:c r="J102" s="13" t="str">
        <x:v>Найти сопоставимую цену</x:v>
      </x:c>
      <x:c r="K102" s="13" t="str"/>
      <x:c r="L102" s="13" t="str">
        <x:v>Местные земляные подрядчики и владельцы спецтехники</x:v>
      </x:c>
    </x:row>
    <x:row r="103" ht="39" customHeight="1">
      <x:c r="A103" s="8" t="str">
        <x:v>N095</x:v>
      </x:c>
      <x:c r="B103" s="8" t="str">
        <x:v>Земляные работы</x:v>
      </x:c>
      <x:c r="C103" s="8" t="str">
        <x:v>Разработка траншей экскаватором «обратная лопата» с ковшом вместимостью 0,25 м3, группа грунтов: 2</x:v>
      </x:c>
      <x:c r="D103" s="8" t="str">
        <x:v>м³</x:v>
      </x:c>
      <x:c r="E103" s="11" t="n">
        <x:f>SUMIFS('Строки сметы'!$H$9:$H$267,'Строки сметы'!$A$9:$A$267,$A103)</x:f>
        <x:v>240.74</x:v>
      </x:c>
      <x:c r="F103" s="10" t="n">
        <x:f>COUNTIFS('Строки сметы'!$A$9:$A$267,$A103)</x:f>
        <x:v>1</x:v>
      </x:c>
      <x:c r="G103" s="10" t="n">
        <x:f>SUMIFS('Строки сметы'!$K$9:$K$267,'Строки сметы'!$A$9:$A$267,$A103)</x:f>
        <x:v>0</x:v>
      </x:c>
      <x:c r="H103" s="10" t="n">
        <x:f>SUMIFS('Строки сметы'!$J$9:$J$267,'Строки сметы'!$A$9:$A$267,$A103)</x:f>
        <x:v>1</x:v>
      </x:c>
      <x:c r="I103" s="8" t="str">
        <x:f>IF(H103=0,"Цена есть",IF(G103&gt;0,"Частично покрыто","Нужно найти"))</x:f>
        <x:v>Нужно найти</x:v>
      </x:c>
      <x:c r="J103" s="8" t="str">
        <x:v>Найти сопоставимую цену</x:v>
      </x:c>
      <x:c r="K103" s="8" t="str"/>
      <x:c r="L103" s="8" t="str">
        <x:v>Местные земляные подрядчики и владельцы спецтехники</x:v>
      </x:c>
    </x:row>
    <x:row r="104" ht="69" customHeight="1">
      <x:c r="A104" s="13" t="str">
        <x:v>N096</x:v>
      </x:c>
      <x:c r="B104" s="13" t="str">
        <x:v>Погрузка и перевозка</x:v>
      </x:c>
      <x:c r="C104" s="13" t="str">
        <x:v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x:v>
      </x:c>
      <x:c r="D104" s="13" t="str">
        <x:v>т груза</x:v>
      </x:c>
      <x:c r="E104" s="15" t="n">
        <x:f>SUMIFS('Строки сметы'!$H$9:$H$267,'Строки сметы'!$A$9:$A$267,$A104)</x:f>
        <x:v>3310.7099999999996</x:v>
      </x:c>
      <x:c r="F104" s="14" t="n">
        <x:f>COUNTIFS('Строки сметы'!$A$9:$A$267,$A104)</x:f>
        <x:v>6</x:v>
      </x:c>
      <x:c r="G104" s="14" t="n">
        <x:f>SUMIFS('Строки сметы'!$K$9:$K$267,'Строки сметы'!$A$9:$A$267,$A104)</x:f>
        <x:v>0</x:v>
      </x:c>
      <x:c r="H104" s="14" t="n">
        <x:f>SUMIFS('Строки сметы'!$J$9:$J$267,'Строки сметы'!$A$9:$A$267,$A104)</x:f>
        <x:v>6</x:v>
      </x:c>
      <x:c r="I104" s="13" t="str">
        <x:f>IF(H104=0,"Цена есть",IF(G104&gt;0,"Частично покрыто","Нужно найти"))</x:f>
        <x:v>Нужно найти</x:v>
      </x:c>
      <x:c r="J104" s="13" t="str">
        <x:v>Найти сопоставимую цену</x:v>
      </x:c>
      <x:c r="K104" s="13" t="str"/>
      <x:c r="L104" s="13" t="str">
        <x:v>Местные перевозчики и владельцы самосвалов</x:v>
      </x:c>
    </x:row>
    <x:row r="105" ht="39" customHeight="1">
      <x:c r="A105" s="8" t="str">
        <x:v>N097</x:v>
      </x:c>
      <x:c r="B105" s="8" t="str">
        <x:v>Погрузка и перевозка</x:v>
      </x:c>
      <x:c r="C105" s="8" t="str">
        <x:v>Погрузка в автотранспортное средство: грунт растительного слоя (земля, перегной)</x:v>
      </x:c>
      <x:c r="D105" s="8" t="str">
        <x:v>т груза</x:v>
      </x:c>
      <x:c r="E105" s="11" t="n">
        <x:f>SUMIFS('Строки сметы'!$H$9:$H$267,'Строки сметы'!$A$9:$A$267,$A105)</x:f>
        <x:v>80.47</x:v>
      </x:c>
      <x:c r="F105" s="10" t="n">
        <x:f>COUNTIFS('Строки сметы'!$A$9:$A$267,$A105)</x:f>
        <x:v>2</x:v>
      </x:c>
      <x:c r="G105" s="10" t="n">
        <x:f>SUMIFS('Строки сметы'!$K$9:$K$267,'Строки сметы'!$A$9:$A$267,$A105)</x:f>
        <x:v>0</x:v>
      </x:c>
      <x:c r="H105" s="10" t="n">
        <x:f>SUMIFS('Строки сметы'!$J$9:$J$267,'Строки сметы'!$A$9:$A$267,$A105)</x:f>
        <x:v>2</x:v>
      </x:c>
      <x:c r="I105" s="8" t="str">
        <x:f>IF(H105=0,"Цена есть",IF(G105&gt;0,"Частично покрыто","Нужно найти"))</x:f>
        <x:v>Нужно найти</x:v>
      </x:c>
      <x:c r="J105" s="8" t="str">
        <x:v>Найти сопоставимую цену</x:v>
      </x:c>
      <x:c r="K105" s="8" t="str"/>
      <x:c r="L105" s="8" t="str">
        <x:v>Местные перевозчики и владельцы самосвалов</x:v>
      </x:c>
    </x:row>
    <x:row r="106" ht="54" customHeight="1">
      <x:c r="A106" s="13" t="str">
        <x:v>N098</x:v>
      </x:c>
      <x:c r="B106" s="13" t="str">
        <x:v>Основания, бетон и геоматериалы</x:v>
      </x:c>
      <x:c r="C106" s="13" t="str">
        <x:v>Устройство прослойки из нетканого синтетического материала (НСМ) в земляном полотне: сплошной</x:v>
      </x:c>
      <x:c r="D106" s="13" t="str">
        <x:v>м²</x:v>
      </x:c>
      <x:c r="E106" s="15" t="n">
        <x:f>SUMIFS('Строки сметы'!$H$9:$H$267,'Строки сметы'!$A$9:$A$267,$A106)</x:f>
        <x:v>7231.44</x:v>
      </x:c>
      <x:c r="F106" s="14" t="n">
        <x:f>COUNTIFS('Строки сметы'!$A$9:$A$267,$A106)</x:f>
        <x:v>3</x:v>
      </x:c>
      <x:c r="G106" s="14" t="n">
        <x:f>SUMIFS('Строки сметы'!$K$9:$K$267,'Строки сметы'!$A$9:$A$267,$A106)</x:f>
        <x:v>0</x:v>
      </x:c>
      <x:c r="H106" s="14" t="n">
        <x:f>SUMIFS('Строки сметы'!$J$9:$J$267,'Строки сметы'!$A$9:$A$267,$A106)</x:f>
        <x:v>3</x:v>
      </x:c>
      <x:c r="I106" s="13" t="str">
        <x:f>IF(H106=0,"Цена есть",IF(G106&gt;0,"Частично покрыто","Нужно найти"))</x:f>
        <x:v>Нужно найти</x:v>
      </x:c>
      <x:c r="J106" s="13" t="str">
        <x:v>Найти цену на полный состав работы. Работа с вложенными материалами</x:v>
      </x:c>
      <x:c r="K106" s="13" t="str"/>
      <x:c r="L106" s="13" t="str">
        <x:v>Подрядчики по основаниям, бетонированию и геосинтетике</x:v>
      </x:c>
    </x:row>
    <x:row r="107" ht="54" customHeight="1">
      <x:c r="A107" s="8" t="str">
        <x:v>N099</x:v>
      </x:c>
      <x:c r="B107" s="8" t="str">
        <x:v>Основания, бетон и геоматериалы</x:v>
      </x:c>
      <x:c r="C107" s="8" t="str">
        <x:v>Устройство бетонной подготовки</x:v>
      </x:c>
      <x:c r="D107" s="8" t="str">
        <x:v>м³</x:v>
      </x:c>
      <x:c r="E107" s="11" t="n">
        <x:f>SUMIFS('Строки сметы'!$H$9:$H$267,'Строки сметы'!$A$9:$A$267,$A107)</x:f>
        <x:v>0.955</x:v>
      </x:c>
      <x:c r="F107" s="10" t="n">
        <x:f>COUNTIFS('Строки сметы'!$A$9:$A$267,$A107)</x:f>
        <x:v>2</x:v>
      </x:c>
      <x:c r="G107" s="10" t="n">
        <x:f>SUMIFS('Строки сметы'!$K$9:$K$267,'Строки сметы'!$A$9:$A$267,$A107)</x:f>
        <x:v>0</x:v>
      </x:c>
      <x:c r="H107" s="10" t="n">
        <x:f>SUMIFS('Строки сметы'!$J$9:$J$267,'Строки сметы'!$A$9:$A$267,$A107)</x:f>
        <x:v>2</x:v>
      </x:c>
      <x:c r="I107" s="8" t="str">
        <x:f>IF(H107=0,"Цена есть",IF(G107&gt;0,"Частично покрыто","Нужно найти"))</x:f>
        <x:v>Нужно найти</x:v>
      </x:c>
      <x:c r="J107" s="8" t="str">
        <x:v>Найти цену на полный состав работы. Работа с вложенными материалами</x:v>
      </x:c>
      <x:c r="K107" s="8" t="str"/>
      <x:c r="L107" s="8" t="str">
        <x:v>Подрядчики по основаниям, бетонированию и геосинтетике</x:v>
      </x:c>
    </x:row>
    <x:row r="108" ht="54" customHeight="1">
      <x:c r="A108" s="13" t="str">
        <x:v>N100</x:v>
      </x:c>
      <x:c r="B108" s="13" t="str">
        <x:v>Основания, бетон и геоматериалы</x:v>
      </x:c>
      <x:c r="C108" s="13" t="str">
        <x:v>Устройство подстилающих и выравнивающих слоев оснований: из песка</x:v>
      </x:c>
      <x:c r="D108" s="13" t="str">
        <x:v>м³</x:v>
      </x:c>
      <x:c r="E108" s="15" t="n">
        <x:f>SUMIFS('Строки сметы'!$H$9:$H$267,'Строки сметы'!$A$9:$A$267,$A108)</x:f>
        <x:v>1012.5899999999999</x:v>
      </x:c>
      <x:c r="F108" s="14" t="n">
        <x:f>COUNTIFS('Строки сметы'!$A$9:$A$267,$A108)</x:f>
        <x:v>2</x:v>
      </x:c>
      <x:c r="G108" s="14" t="n">
        <x:f>SUMIFS('Строки сметы'!$K$9:$K$267,'Строки сметы'!$A$9:$A$267,$A108)</x:f>
        <x:v>0</x:v>
      </x:c>
      <x:c r="H108" s="14" t="n">
        <x:f>SUMIFS('Строки сметы'!$J$9:$J$267,'Строки сметы'!$A$9:$A$267,$A108)</x:f>
        <x:v>2</x:v>
      </x:c>
      <x:c r="I108" s="13" t="str">
        <x:f>IF(H108=0,"Цена есть",IF(G108&gt;0,"Частично покрыто","Нужно найти"))</x:f>
        <x:v>Нужно найти</x:v>
      </x:c>
      <x:c r="J108" s="13" t="str">
        <x:v>Найти цену на полный состав работы. Работа с вложенными материалами</x:v>
      </x:c>
      <x:c r="K108" s="13" t="str"/>
      <x:c r="L108" s="13" t="str">
        <x:v>Подрядчики по основаниям, бетонированию и геосинтетике</x:v>
      </x:c>
    </x:row>
    <x:row r="109" ht="54" customHeight="1">
      <x:c r="A109" s="8" t="str">
        <x:v>N101</x:v>
      </x:c>
      <x:c r="B109" s="8" t="str">
        <x:v>Основания, бетон и геоматериалы</x:v>
      </x:c>
      <x:c r="C109" s="8" t="str">
        <x:v>Устройство подстилающих и выравнивающих слоев оснований: из щебня</x:v>
      </x:c>
      <x:c r="D109" s="8" t="str">
        <x:v>м³</x:v>
      </x:c>
      <x:c r="E109" s="11" t="n">
        <x:f>SUMIFS('Строки сметы'!$H$9:$H$267,'Строки сметы'!$A$9:$A$267,$A109)</x:f>
        <x:v>1012.5899999999999</x:v>
      </x:c>
      <x:c r="F109" s="10" t="n">
        <x:f>COUNTIFS('Строки сметы'!$A$9:$A$267,$A109)</x:f>
        <x:v>2</x:v>
      </x:c>
      <x:c r="G109" s="10" t="n">
        <x:f>SUMIFS('Строки сметы'!$K$9:$K$267,'Строки сметы'!$A$9:$A$267,$A109)</x:f>
        <x:v>0</x:v>
      </x:c>
      <x:c r="H109" s="10" t="n">
        <x:f>SUMIFS('Строки сметы'!$J$9:$J$267,'Строки сметы'!$A$9:$A$267,$A109)</x:f>
        <x:v>2</x:v>
      </x:c>
      <x:c r="I109" s="8" t="str">
        <x:f>IF(H109=0,"Цена есть",IF(G109&gt;0,"Частично покрыто","Нужно найти"))</x:f>
        <x:v>Нужно найти</x:v>
      </x:c>
      <x:c r="J109" s="8" t="str">
        <x:v>Найти цену на полный состав работы. Работа с вложенными материалами</x:v>
      </x:c>
      <x:c r="K109" s="8" t="str"/>
      <x:c r="L109" s="8" t="str">
        <x:v>Подрядчики по основаниям, бетонированию и геосинтетике</x:v>
      </x:c>
    </x:row>
    <x:row r="110" ht="39" customHeight="1">
      <x:c r="A110" s="13" t="str">
        <x:v>N102</x:v>
      </x:c>
      <x:c r="B110" s="13" t="str">
        <x:v>Основания, бетон и геоматериалы</x:v>
      </x:c>
      <x:c r="C110" s="13" t="str">
        <x:v>Армирование грунтовых насыпей георешетками</x:v>
      </x:c>
      <x:c r="D110" s="13" t="str">
        <x:v>м²</x:v>
      </x:c>
      <x:c r="E110" s="15" t="n">
        <x:f>SUMIFS('Строки сметы'!$H$9:$H$267,'Строки сметы'!$A$9:$A$267,$A110)</x:f>
        <x:v>480.8</x:v>
      </x:c>
      <x:c r="F110" s="14" t="n">
        <x:f>COUNTIFS('Строки сметы'!$A$9:$A$267,$A110)</x:f>
        <x:v>1</x:v>
      </x:c>
      <x:c r="G110" s="14" t="n">
        <x:f>SUMIFS('Строки сметы'!$K$9:$K$267,'Строки сметы'!$A$9:$A$267,$A110)</x:f>
        <x:v>0</x:v>
      </x:c>
      <x:c r="H110" s="14" t="n">
        <x:f>SUMIFS('Строки сметы'!$J$9:$J$267,'Строки сметы'!$A$9:$A$267,$A110)</x:f>
        <x:v>1</x:v>
      </x:c>
      <x:c r="I110" s="13" t="str">
        <x:f>IF(H110=0,"Цена есть",IF(G110&gt;0,"Частично покрыто","Нужно найти"))</x:f>
        <x:v>Нужно найти</x:v>
      </x:c>
      <x:c r="J110" s="13" t="str">
        <x:v>Найти сопоставимую цену</x:v>
      </x:c>
      <x:c r="K110" s="13" t="str"/>
      <x:c r="L110" s="13" t="str">
        <x:v>Подрядчики по основаниям, бетонированию и геосинтетике</x:v>
      </x:c>
    </x:row>
    <x:row r="111" ht="54" customHeight="1">
      <x:c r="A111" s="8" t="str">
        <x:v>N103</x:v>
      </x:c>
      <x:c r="B111" s="8" t="str">
        <x:v>Основания, бетон и геоматериалы</x:v>
      </x:c>
      <x:c r="C111" s="8" t="str">
        <x:v>Устройство бетонной подготовки</x:v>
      </x:c>
      <x:c r="D111" s="8" t="str">
        <x:v>м³</x:v>
      </x:c>
      <x:c r="E111" s="11" t="n">
        <x:f>SUMIFS('Строки сметы'!$H$9:$H$267,'Строки сметы'!$A$9:$A$267,$A111)</x:f>
        <x:v>8.84</x:v>
      </x:c>
      <x:c r="F111" s="10" t="n">
        <x:f>COUNTIFS('Строки сметы'!$A$9:$A$267,$A111)</x:f>
        <x:v>1</x:v>
      </x:c>
      <x:c r="G111" s="10" t="n">
        <x:f>SUMIFS('Строки сметы'!$K$9:$K$267,'Строки сметы'!$A$9:$A$267,$A111)</x:f>
        <x:v>0</x:v>
      </x:c>
      <x:c r="H111" s="10" t="n">
        <x:f>SUMIFS('Строки сметы'!$J$9:$J$267,'Строки сметы'!$A$9:$A$267,$A111)</x:f>
        <x:v>1</x:v>
      </x:c>
      <x:c r="I111" s="8" t="str">
        <x:f>IF(H111=0,"Цена есть",IF(G111&gt;0,"Частично покрыто","Нужно найти"))</x:f>
        <x:v>Нужно найти</x:v>
      </x:c>
      <x:c r="J111" s="8" t="str">
        <x:v>Найти цену на полный состав работы. Работа с вложенными материалами</x:v>
      </x:c>
      <x:c r="K111" s="8" t="str"/>
      <x:c r="L111" s="8" t="str">
        <x:v>Подрядчики по основаниям, бетонированию и геосинтетике</x:v>
      </x:c>
    </x:row>
    <x:row r="112" ht="54" customHeight="1">
      <x:c r="A112" s="13" t="str">
        <x:v>N104</x:v>
      </x:c>
      <x:c r="B112" s="13" t="str">
        <x:v>Основания, бетон и геоматериалы</x:v>
      </x:c>
      <x:c r="C112" s="13" t="str">
        <x:v>Устройство основания под фундаменты: щебеночного</x:v>
      </x:c>
      <x:c r="D112" s="13" t="str">
        <x:v>м³</x:v>
      </x:c>
      <x:c r="E112" s="15" t="n">
        <x:f>SUMIFS('Строки сметы'!$H$9:$H$267,'Строки сметы'!$A$9:$A$267,$A112)</x:f>
        <x:v>0.56</x:v>
      </x:c>
      <x:c r="F112" s="14" t="n">
        <x:f>COUNTIFS('Строки сметы'!$A$9:$A$267,$A112)</x:f>
        <x:v>1</x:v>
      </x:c>
      <x:c r="G112" s="14" t="n">
        <x:f>SUMIFS('Строки сметы'!$K$9:$K$267,'Строки сметы'!$A$9:$A$267,$A112)</x:f>
        <x:v>0</x:v>
      </x:c>
      <x:c r="H112" s="14" t="n">
        <x:f>SUMIFS('Строки сметы'!$J$9:$J$267,'Строки сметы'!$A$9:$A$267,$A112)</x:f>
        <x:v>1</x:v>
      </x:c>
      <x:c r="I112" s="13" t="str">
        <x:f>IF(H112=0,"Цена есть",IF(G112&gt;0,"Частично покрыто","Нужно найти"))</x:f>
        <x:v>Нужно найти</x:v>
      </x:c>
      <x:c r="J112" s="13" t="str">
        <x:v>Найти цену на полный состав работы. Работа с вложенными материалами</x:v>
      </x:c>
      <x:c r="K112" s="13" t="str"/>
      <x:c r="L112" s="13" t="str">
        <x:v>Подрядчики по основаниям, бетонированию и геосинтетике</x:v>
      </x:c>
    </x:row>
    <x:row r="113" ht="54" customHeight="1">
      <x:c r="A113" s="8" t="str">
        <x:v>N105</x:v>
      </x:c>
      <x:c r="B113" s="8" t="str">
        <x:v>Мощение, бордюры и разметка</x:v>
      </x:c>
      <x:c r="C113" s="8" t="str">
        <x:v>Устройство покрытий тротуаров из бетонной плитки типа "Брусчатка": рядовым или паркетным мощением</x:v>
      </x:c>
      <x:c r="D113" s="8" t="str">
        <x:v>м²</x:v>
      </x:c>
      <x:c r="E113" s="11" t="n">
        <x:f>SUMIFS('Строки сметы'!$H$9:$H$267,'Строки сметы'!$A$9:$A$267,$A113)</x:f>
        <x:v>5015.05</x:v>
      </x:c>
      <x:c r="F113" s="10" t="n">
        <x:f>COUNTIFS('Строки сметы'!$A$9:$A$267,$A113)</x:f>
        <x:v>2</x:v>
      </x:c>
      <x:c r="G113" s="10" t="n">
        <x:f>SUMIFS('Строки сметы'!$K$9:$K$267,'Строки сметы'!$A$9:$A$267,$A113)</x:f>
        <x:v>0</x:v>
      </x:c>
      <x:c r="H113" s="10" t="n">
        <x:f>SUMIFS('Строки сметы'!$J$9:$J$267,'Строки сметы'!$A$9:$A$267,$A113)</x:f>
        <x:v>2</x:v>
      </x:c>
      <x:c r="I113" s="8" t="str">
        <x:f>IF(H113=0,"Цена есть",IF(G113&gt;0,"Частично покрыто","Нужно найти"))</x:f>
        <x:v>Нужно найти</x:v>
      </x:c>
      <x:c r="J113" s="8" t="str">
        <x:v>Найти цену на полный состав работы. Работа с вложенными материалами</x:v>
      </x:c>
      <x:c r="K113" s="8" t="str"/>
      <x:c r="L113" s="8" t="str">
        <x:v>Подрядчики по благоустройству и дорожным работам</x:v>
      </x:c>
    </x:row>
    <x:row r="114" ht="54" customHeight="1">
      <x:c r="A114" s="13" t="str">
        <x:v>N106</x:v>
      </x:c>
      <x:c r="B114" s="13" t="str">
        <x:v>Мощение, бордюры и разметка</x:v>
      </x:c>
      <x:c r="C114" s="13" t="str">
        <x:v>Нанесение горизонтальной дорожной разметки краской вручную: стрелы, буквы - разметка 1.18 и 1.23.3</x:v>
      </x:c>
      <x:c r="D114" s="13" t="str">
        <x:v>м²</x:v>
      </x:c>
      <x:c r="E114" s="15" t="n">
        <x:f>SUMIFS('Строки сметы'!$H$9:$H$267,'Строки сметы'!$A$9:$A$267,$A114)</x:f>
        <x:v>3.4000000000000004</x:v>
      </x:c>
      <x:c r="F114" s="14" t="n">
        <x:f>COUNTIFS('Строки сметы'!$A$9:$A$267,$A114)</x:f>
        <x:v>1</x:v>
      </x:c>
      <x:c r="G114" s="14" t="n">
        <x:f>SUMIFS('Строки сметы'!$K$9:$K$267,'Строки сметы'!$A$9:$A$267,$A114)</x:f>
        <x:v>0</x:v>
      </x:c>
      <x:c r="H114" s="14" t="n">
        <x:f>SUMIFS('Строки сметы'!$J$9:$J$267,'Строки сметы'!$A$9:$A$267,$A114)</x:f>
        <x:v>1</x:v>
      </x:c>
      <x:c r="I114" s="13" t="str">
        <x:f>IF(H114=0,"Цена есть",IF(G114&gt;0,"Частично покрыто","Нужно найти"))</x:f>
        <x:v>Нужно найти</x:v>
      </x:c>
      <x:c r="J114" s="13" t="str">
        <x:v>Найти цену на полный состав работы. Работа с вложенными материалами</x:v>
      </x:c>
      <x:c r="K114" s="13" t="str"/>
      <x:c r="L114" s="13" t="str">
        <x:v>Подрядчики по благоустройству и дорожным работам</x:v>
      </x:c>
    </x:row>
    <x:row r="115" ht="54" customHeight="1">
      <x:c r="A115" s="8" t="str">
        <x:v>N107</x:v>
      </x:c>
      <x:c r="B115" s="8" t="str">
        <x:v>Мощение, бордюры и разметка</x:v>
      </x:c>
      <x:c r="C115" s="8" t="str">
        <x:v>Нанесение линии горизонтальной дорожной разметки краской со световозвращающими элементами механизированным способом, шириной: 0,1 м, прерывистой, шаг 1:1 - разметка 1.7</x:v>
      </x:c>
      <x:c r="D115" s="8" t="str">
        <x:v>м²</x:v>
      </x:c>
      <x:c r="E115" s="11" t="n">
        <x:f>SUMIFS('Строки сметы'!$H$9:$H$267,'Строки сметы'!$A$9:$A$267,$A115)</x:f>
        <x:v>22.05</x:v>
      </x:c>
      <x:c r="F115" s="10" t="n">
        <x:f>COUNTIFS('Строки сметы'!$A$9:$A$267,$A115)</x:f>
        <x:v>1</x:v>
      </x:c>
      <x:c r="G115" s="10" t="n">
        <x:f>SUMIFS('Строки сметы'!$K$9:$K$267,'Строки сметы'!$A$9:$A$267,$A115)</x:f>
        <x:v>0</x:v>
      </x:c>
      <x:c r="H115" s="10" t="n">
        <x:f>SUMIFS('Строки сметы'!$J$9:$J$267,'Строки сметы'!$A$9:$A$267,$A115)</x:f>
        <x:v>1</x:v>
      </x:c>
      <x:c r="I115" s="8" t="str">
        <x:f>IF(H115=0,"Цена есть",IF(G115&gt;0,"Частично покрыто","Нужно найти"))</x:f>
        <x:v>Нужно найти</x:v>
      </x:c>
      <x:c r="J115" s="8" t="str">
        <x:v>Найти цену на полный состав работы. Работа с вложенными материалами</x:v>
      </x:c>
      <x:c r="K115" s="8" t="str"/>
      <x:c r="L115" s="8" t="str">
        <x:v>Подрядчики по благоустройству и дорожным работам</x:v>
      </x:c>
    </x:row>
    <x:row r="116" ht="54" customHeight="1">
      <x:c r="A116" s="13" t="str">
        <x:v>N108</x:v>
      </x:c>
      <x:c r="B116" s="13" t="str">
        <x:v>Мощение, бордюры и разметка</x:v>
      </x:c>
      <x:c r="C116" s="13" t="str">
        <x:v>Нанесение линии горизонтальной дорожной разметки краской со световозвращающими элементами механизированным способом, шириной: 0,1 м, сплошной - разметка 1.2</x:v>
      </x:c>
      <x:c r="D116" s="13" t="str">
        <x:v>м²</x:v>
      </x:c>
      <x:c r="E116" s="15" t="n">
        <x:f>SUMIFS('Строки сметы'!$H$9:$H$267,'Строки сметы'!$A$9:$A$267,$A116)</x:f>
        <x:v>87.33</x:v>
      </x:c>
      <x:c r="F116" s="14" t="n">
        <x:f>COUNTIFS('Строки сметы'!$A$9:$A$267,$A116)</x:f>
        <x:v>1</x:v>
      </x:c>
      <x:c r="G116" s="14" t="n">
        <x:f>SUMIFS('Строки сметы'!$K$9:$K$267,'Строки сметы'!$A$9:$A$267,$A116)</x:f>
        <x:v>0</x:v>
      </x:c>
      <x:c r="H116" s="14" t="n">
        <x:f>SUMIFS('Строки сметы'!$J$9:$J$267,'Строки сметы'!$A$9:$A$267,$A116)</x:f>
        <x:v>1</x:v>
      </x:c>
      <x:c r="I116" s="13" t="str">
        <x:f>IF(H116=0,"Цена есть",IF(G116&gt;0,"Частично покрыто","Нужно найти"))</x:f>
        <x:v>Нужно найти</x:v>
      </x:c>
      <x:c r="J116" s="13" t="str">
        <x:v>Найти цену на полный состав работы. Работа с вложенными материалами</x:v>
      </x:c>
      <x:c r="K116" s="13" t="str"/>
      <x:c r="L116" s="13" t="str">
        <x:v>Подрядчики по благоустройству и дорожным работам</x:v>
      </x:c>
    </x:row>
    <x:row r="117" ht="39" customHeight="1">
      <x:c r="A117" s="8" t="str">
        <x:v>N109</x:v>
      </x:c>
      <x:c r="B117" s="8" t="str">
        <x:v>Мощение, бордюры и разметка</x:v>
      </x:c>
      <x:c r="C117" s="8" t="str">
        <x:v>Резка тротуарной плитки толщиной 70 мм: на отрезном станке</x:v>
      </x:c>
      <x:c r="D117" s="8" t="str">
        <x:v>м реза</x:v>
      </x:c>
      <x:c r="E117" s="11" t="n">
        <x:f>SUMIFS('Строки сметы'!$H$9:$H$267,'Строки сметы'!$A$9:$A$267,$A117)</x:f>
        <x:v>1139.1</x:v>
      </x:c>
      <x:c r="F117" s="10" t="n">
        <x:f>COUNTIFS('Строки сметы'!$A$9:$A$267,$A117)</x:f>
        <x:v>1</x:v>
      </x:c>
      <x:c r="G117" s="10" t="n">
        <x:f>SUMIFS('Строки сметы'!$K$9:$K$267,'Строки сметы'!$A$9:$A$267,$A117)</x:f>
        <x:v>0</x:v>
      </x:c>
      <x:c r="H117" s="10" t="n">
        <x:f>SUMIFS('Строки сметы'!$J$9:$J$267,'Строки сметы'!$A$9:$A$267,$A117)</x:f>
        <x:v>1</x:v>
      </x:c>
      <x:c r="I117" s="8" t="str">
        <x:f>IF(H117=0,"Цена есть",IF(G117&gt;0,"Частично покрыто","Нужно найти"))</x:f>
        <x:v>Нужно найти</x:v>
      </x:c>
      <x:c r="J117" s="8" t="str">
        <x:v>Найти сопоставимую цену</x:v>
      </x:c>
      <x:c r="K117" s="8" t="str"/>
      <x:c r="L117" s="8" t="str">
        <x:v>Подрядчики по благоустройству и дорожным работам</x:v>
      </x:c>
    </x:row>
    <x:row r="118" ht="54" customHeight="1">
      <x:c r="A118" s="13" t="str">
        <x:v>N110</x:v>
      </x:c>
      <x:c r="B118" s="13" t="str">
        <x:v>Мощение, бордюры и разметка</x:v>
      </x:c>
      <x:c r="C118" s="13" t="str">
        <x:v>Установка бортовых камней бетонных: при других видах покрытий</x:v>
      </x:c>
      <x:c r="D118" s="13" t="str">
        <x:v>м</x:v>
      </x:c>
      <x:c r="E118" s="15" t="n">
        <x:f>SUMIFS('Строки сметы'!$H$9:$H$267,'Строки сметы'!$A$9:$A$267,$A118)</x:f>
        <x:v>755</x:v>
      </x:c>
      <x:c r="F118" s="14" t="n">
        <x:f>COUNTIFS('Строки сметы'!$A$9:$A$267,$A118)</x:f>
        <x:v>1</x:v>
      </x:c>
      <x:c r="G118" s="14" t="n">
        <x:f>SUMIFS('Строки сметы'!$K$9:$K$267,'Строки сметы'!$A$9:$A$267,$A118)</x:f>
        <x:v>0</x:v>
      </x:c>
      <x:c r="H118" s="14" t="n">
        <x:f>SUMIFS('Строки сметы'!$J$9:$J$267,'Строки сметы'!$A$9:$A$267,$A118)</x:f>
        <x:v>1</x:v>
      </x:c>
      <x:c r="I118" s="13" t="str">
        <x:f>IF(H118=0,"Цена есть",IF(G118&gt;0,"Частично покрыто","Нужно найти"))</x:f>
        <x:v>Нужно найти</x:v>
      </x:c>
      <x:c r="J118" s="13" t="str">
        <x:v>Найти цену на полный состав работы. Работа с вложенными материалами</x:v>
      </x:c>
      <x:c r="K118" s="13" t="str"/>
      <x:c r="L118" s="13" t="str">
        <x:v>Подрядчики по благоустройству и дорожным работам</x:v>
      </x:c>
    </x:row>
    <x:row r="119" ht="54" customHeight="1">
      <x:c r="A119" s="8" t="str">
        <x:v>N111</x:v>
      </x:c>
      <x:c r="B119" s="8" t="str">
        <x:v>Мощение, бордюры и разметка</x:v>
      </x:c>
      <x:c r="C119" s="8" t="str">
        <x:v>Установка бортовых камней бетонных: при других видах покрытий</x:v>
      </x:c>
      <x:c r="D119" s="8" t="str">
        <x:v>м</x:v>
      </x:c>
      <x:c r="E119" s="11" t="n">
        <x:f>SUMIFS('Строки сметы'!$H$9:$H$267,'Строки сметы'!$A$9:$A$267,$A119)</x:f>
        <x:v>885</x:v>
      </x:c>
      <x:c r="F119" s="10" t="n">
        <x:f>COUNTIFS('Строки сметы'!$A$9:$A$267,$A119)</x:f>
        <x:v>1</x:v>
      </x:c>
      <x:c r="G119" s="10" t="n">
        <x:f>SUMIFS('Строки сметы'!$K$9:$K$267,'Строки сметы'!$A$9:$A$267,$A119)</x:f>
        <x:v>0</x:v>
      </x:c>
      <x:c r="H119" s="10" t="n">
        <x:f>SUMIFS('Строки сметы'!$J$9:$J$267,'Строки сметы'!$A$9:$A$267,$A119)</x:f>
        <x:v>1</x:v>
      </x:c>
      <x:c r="I119" s="8" t="str">
        <x:f>IF(H119=0,"Цена есть",IF(G119&gt;0,"Частично покрыто","Нужно найти"))</x:f>
        <x:v>Нужно найти</x:v>
      </x:c>
      <x:c r="J119" s="8" t="str">
        <x:v>Найти цену на полный состав работы. Работа с вложенными материалами</x:v>
      </x:c>
      <x:c r="K119" s="8" t="str"/>
      <x:c r="L119" s="8" t="str">
        <x:v>Подрядчики по благоустройству и дорожным работам</x:v>
      </x:c>
    </x:row>
    <x:row r="120" ht="54" customHeight="1">
      <x:c r="A120" s="13" t="str">
        <x:v>N112</x:v>
      </x:c>
      <x:c r="B120" s="13" t="str">
        <x:v>Мощение, бордюры и разметка</x:v>
      </x:c>
      <x:c r="C120" s="13" t="str">
        <x:v>Устройство покрытий тротуаров из бетонной плитки типа "Брусчатка": кольцевым мощением</x:v>
      </x:c>
      <x:c r="D120" s="13" t="str">
        <x:v>м²</x:v>
      </x:c>
      <x:c r="E120" s="15" t="n">
        <x:f>SUMIFS('Строки сметы'!$H$9:$H$267,'Строки сметы'!$A$9:$A$267,$A120)</x:f>
        <x:v>633.4399999999999</x:v>
      </x:c>
      <x:c r="F120" s="14" t="n">
        <x:f>COUNTIFS('Строки сметы'!$A$9:$A$267,$A120)</x:f>
        <x:v>1</x:v>
      </x:c>
      <x:c r="G120" s="14" t="n">
        <x:f>SUMIFS('Строки сметы'!$K$9:$K$267,'Строки сметы'!$A$9:$A$267,$A120)</x:f>
        <x:v>0</x:v>
      </x:c>
      <x:c r="H120" s="14" t="n">
        <x:f>SUMIFS('Строки сметы'!$J$9:$J$267,'Строки сметы'!$A$9:$A$267,$A120)</x:f>
        <x:v>1</x:v>
      </x:c>
      <x:c r="I120" s="13" t="str">
        <x:f>IF(H120=0,"Цена есть",IF(G120&gt;0,"Частично покрыто","Нужно найти"))</x:f>
        <x:v>Нужно найти</x:v>
      </x:c>
      <x:c r="J120" s="13" t="str">
        <x:v>Найти цену на полный состав работы. Работа с вложенными материалами</x:v>
      </x:c>
      <x:c r="K120" s="13" t="str"/>
      <x:c r="L120" s="13" t="str">
        <x:v>Подрядчики по благоустройству и дорожным работам</x:v>
      </x:c>
    </x:row>
    <x:row r="121" ht="54" customHeight="1">
      <x:c r="A121" s="8" t="str">
        <x:v>N113</x:v>
      </x:c>
      <x:c r="B121" s="8" t="str">
        <x:v>Мощение, бордюры и разметка</x:v>
      </x:c>
      <x:c r="C121" s="8" t="str">
        <x:v>Устройство покрытия дорожек и тротуаров из горячих асфальтобетонных смесей асфальтоукладчиками первого типоразмера, толщина слоя 4 см</x:v>
      </x:c>
      <x:c r="D121" s="8" t="str">
        <x:v>м²</x:v>
      </x:c>
      <x:c r="E121" s="11" t="n">
        <x:f>SUMIFS('Строки сметы'!$H$9:$H$267,'Строки сметы'!$A$9:$A$267,$A121)</x:f>
        <x:v>1102.1499999999999</x:v>
      </x:c>
      <x:c r="F121" s="10" t="n">
        <x:f>COUNTIFS('Строки сметы'!$A$9:$A$267,$A121)</x:f>
        <x:v>1</x:v>
      </x:c>
      <x:c r="G121" s="10" t="n">
        <x:f>SUMIFS('Строки сметы'!$K$9:$K$267,'Строки сметы'!$A$9:$A$267,$A121)</x:f>
        <x:v>0</x:v>
      </x:c>
      <x:c r="H121" s="10" t="n">
        <x:f>SUMIFS('Строки сметы'!$J$9:$J$267,'Строки сметы'!$A$9:$A$267,$A121)</x:f>
        <x:v>1</x:v>
      </x:c>
      <x:c r="I121" s="8" t="str">
        <x:f>IF(H121=0,"Цена есть",IF(G121&gt;0,"Частично покрыто","Нужно найти"))</x:f>
        <x:v>Нужно найти</x:v>
      </x:c>
      <x:c r="J121" s="8" t="str">
        <x:v>Найти цену на полный состав работы. Работа с вложенными материалами</x:v>
      </x:c>
      <x:c r="K121" s="8" t="str"/>
      <x:c r="L121" s="8" t="str">
        <x:v>Подрядчики по благоустройству и дорожным работам</x:v>
      </x:c>
    </x:row>
    <x:row r="122" ht="54" customHeight="1">
      <x:c r="A122" s="13" t="str">
        <x:v>N114</x:v>
      </x:c>
      <x:c r="B122" s="13" t="str">
        <x:v>Посев газонов</x:v>
      </x:c>
      <x:c r="C122" s="13" t="str">
        <x:v>Посев газонов партерных, мавританских и обыкновенных вручную</x:v>
      </x:c>
      <x:c r="D122" s="13" t="str">
        <x:v>м²</x:v>
      </x:c>
      <x:c r="E122" s="15" t="n">
        <x:f>SUMIFS('Строки сметы'!$H$9:$H$267,'Строки сметы'!$A$9:$A$267,$A122)</x:f>
        <x:v>5603.400000000001</x:v>
      </x:c>
      <x:c r="F122" s="14" t="n">
        <x:f>COUNTIFS('Строки сметы'!$A$9:$A$267,$A122)</x:f>
        <x:v>2</x:v>
      </x:c>
      <x:c r="G122" s="14" t="n">
        <x:f>SUMIFS('Строки сметы'!$K$9:$K$267,'Строки сметы'!$A$9:$A$267,$A122)</x:f>
        <x:v>0</x:v>
      </x:c>
      <x:c r="H122" s="14" t="n">
        <x:f>SUMIFS('Строки сметы'!$J$9:$J$267,'Строки сметы'!$A$9:$A$267,$A122)</x:f>
        <x:v>2</x:v>
      </x:c>
      <x:c r="I122" s="13" t="str">
        <x:f>IF(H122=0,"Цена есть",IF(G122&gt;0,"Частично покрыто","Нужно найти"))</x:f>
        <x:v>Нужно найти</x:v>
      </x:c>
      <x:c r="J122" s="13" t="str">
        <x:v>Найти цену на полный состав работы. Работа с вложенными материалами</x:v>
      </x:c>
      <x:c r="K122" s="13" t="str"/>
      <x:c r="L122" s="13" t="str">
        <x:v>Местные подрядчики по озеленению</x:v>
      </x:c>
    </x:row>
    <x:row r="123" ht="54" customHeight="1">
      <x:c r="A123" s="8" t="str">
        <x:v>N115</x:v>
      </x:c>
      <x:c r="B123" s="8" t="str">
        <x:v>Электромонтаж и наружное освещение</x:v>
      </x:c>
      <x:c r="C123" s="8" t="str">
        <x:v>Заземлитель вертикальный из круглой стали диаметром: 16 мм</x:v>
      </x:c>
      <x:c r="D123" s="8" t="str">
        <x:v>шт</x:v>
      </x:c>
      <x:c r="E123" s="11" t="n">
        <x:f>SUMIFS('Строки сметы'!$H$9:$H$267,'Строки сметы'!$A$9:$A$267,$A123)</x:f>
        <x:v>101</x:v>
      </x:c>
      <x:c r="F123" s="10" t="n">
        <x:f>COUNTIFS('Строки сметы'!$A$9:$A$267,$A123)</x:f>
        <x:v>3</x:v>
      </x:c>
      <x:c r="G123" s="10" t="n">
        <x:f>SUMIFS('Строки сметы'!$K$9:$K$267,'Строки сметы'!$A$9:$A$267,$A123)</x:f>
        <x:v>0</x:v>
      </x:c>
      <x:c r="H123" s="10" t="n">
        <x:f>SUMIFS('Строки сметы'!$J$9:$J$267,'Строки сметы'!$A$9:$A$267,$A123)</x:f>
        <x:v>3</x:v>
      </x:c>
      <x:c r="I123" s="8" t="str">
        <x:f>IF(H123=0,"Цена есть",IF(G123&gt;0,"Частично покрыто","Нужно найти"))</x:f>
        <x:v>Нужно найти</x:v>
      </x:c>
      <x:c r="J123" s="8" t="str">
        <x:v>Найти цену работы с расходниками. Работа со вспомогательными расходниками</x:v>
      </x:c>
      <x:c r="K123" s="8" t="str"/>
      <x:c r="L123" s="8" t="str">
        <x:v>Местные электромонтажные подрядчики</x:v>
      </x:c>
    </x:row>
    <x:row r="124" ht="54" customHeight="1">
      <x:c r="A124" s="13" t="str">
        <x:v>N116</x:v>
      </x:c>
      <x:c r="B124" s="13" t="str">
        <x:v>Электромонтаж и наружное освещение</x:v>
      </x:c>
      <x:c r="C124" s="13" t="str">
        <x:v>Заделка концевая с термоусаживающимися полиэтиленовыми перчатками для 3-5-жильного кабеля с бумажной изоляцией напряжением до 1 кВ, сечение одной жилы: до 35 мм2 -монтаж муфты</x:v>
      </x:c>
      <x:c r="D124" s="13" t="str">
        <x:v>шт</x:v>
      </x:c>
      <x:c r="E124" s="15" t="n">
        <x:f>SUMIFS('Строки сметы'!$H$9:$H$267,'Строки сметы'!$A$9:$A$267,$A124)</x:f>
        <x:v>92</x:v>
      </x:c>
      <x:c r="F124" s="14" t="n">
        <x:f>COUNTIFS('Строки сметы'!$A$9:$A$267,$A124)</x:f>
        <x:v>2</x:v>
      </x:c>
      <x:c r="G124" s="14" t="n">
        <x:f>SUMIFS('Строки сметы'!$K$9:$K$267,'Строки сметы'!$A$9:$A$267,$A124)</x:f>
        <x:v>0</x:v>
      </x:c>
      <x:c r="H124" s="14" t="n">
        <x:f>SUMIFS('Строки сметы'!$J$9:$J$267,'Строки сметы'!$A$9:$A$267,$A124)</x:f>
        <x:v>2</x:v>
      </x:c>
      <x:c r="I124" s="13" t="str">
        <x:f>IF(H124=0,"Цена есть",IF(G124&gt;0,"Частично покрыто","Нужно найти"))</x:f>
        <x:v>Нужно найти</x:v>
      </x:c>
      <x:c r="J124" s="13" t="str">
        <x:v>Найти цену работы с расходниками. Работа со вспомогательными расходниками</x:v>
      </x:c>
      <x:c r="K124" s="13" t="str"/>
      <x:c r="L124" s="13" t="str">
        <x:v>Местные электромонтажные подрядчики</x:v>
      </x:c>
    </x:row>
    <x:row r="125" ht="54" customHeight="1">
      <x:c r="A125" s="8" t="str">
        <x:v>N117</x:v>
      </x:c>
      <x:c r="B125" s="8" t="str">
        <x:v>Электромонтаж и наружное освещение</x:v>
      </x:c>
      <x:c r="C125" s="8" t="str">
        <x:v>Заземлитель горизонтальный из стали: полосовой сечением 160 мм2</x:v>
      </x:c>
      <x:c r="D125" s="8" t="str">
        <x:v>м</x:v>
      </x:c>
      <x:c r="E125" s="11" t="n">
        <x:f>SUMIFS('Строки сметы'!$H$9:$H$267,'Строки сметы'!$A$9:$A$267,$A125)</x:f>
        <x:v>55</x:v>
      </x:c>
      <x:c r="F125" s="10" t="n">
        <x:f>COUNTIFS('Строки сметы'!$A$9:$A$267,$A125)</x:f>
        <x:v>2</x:v>
      </x:c>
      <x:c r="G125" s="10" t="n">
        <x:f>SUMIFS('Строки сметы'!$K$9:$K$267,'Строки сметы'!$A$9:$A$267,$A125)</x:f>
        <x:v>0</x:v>
      </x:c>
      <x:c r="H125" s="10" t="n">
        <x:f>SUMIFS('Строки сметы'!$J$9:$J$267,'Строки сметы'!$A$9:$A$267,$A125)</x:f>
        <x:v>2</x:v>
      </x:c>
      <x:c r="I125" s="8" t="str">
        <x:f>IF(H125=0,"Цена есть",IF(G125&gt;0,"Частично покрыто","Нужно найти"))</x:f>
        <x:v>Нужно найти</x:v>
      </x:c>
      <x:c r="J125" s="8" t="str">
        <x:v>Найти цену работы с расходниками. Работа со вспомогательными расходниками</x:v>
      </x:c>
      <x:c r="K125" s="8" t="str"/>
      <x:c r="L125" s="8" t="str">
        <x:v>Местные электромонтажные подрядчики</x:v>
      </x:c>
    </x:row>
    <x:row r="126" ht="54" customHeight="1">
      <x:c r="A126" s="13" t="str">
        <x:v>N118</x:v>
      </x:c>
      <x:c r="B126" s="13" t="str">
        <x:v>Электромонтаж и наружное освещение</x:v>
      </x:c>
      <x:c r="C126" s="13" t="str">
        <x:v>Затягивание провода в проложенные трубы и металлические рукава первого одножильного или многожильного в общей оплетке, суммарное сечение: до 6 мм2 - в опоре</x:v>
      </x:c>
      <x:c r="D126" s="13" t="str">
        <x:v>м</x:v>
      </x:c>
      <x:c r="E126" s="15" t="n">
        <x:f>SUMIFS('Строки сметы'!$H$9:$H$267,'Строки сметы'!$A$9:$A$267,$A126)</x:f>
        <x:v>709</x:v>
      </x:c>
      <x:c r="F126" s="14" t="n">
        <x:f>COUNTIFS('Строки сметы'!$A$9:$A$267,$A126)</x:f>
        <x:v>2</x:v>
      </x:c>
      <x:c r="G126" s="14" t="n">
        <x:f>SUMIFS('Строки сметы'!$K$9:$K$267,'Строки сметы'!$A$9:$A$267,$A126)</x:f>
        <x:v>0</x:v>
      </x:c>
      <x:c r="H126" s="14" t="n">
        <x:f>SUMIFS('Строки сметы'!$J$9:$J$267,'Строки сметы'!$A$9:$A$267,$A126)</x:f>
        <x:v>2</x:v>
      </x:c>
      <x:c r="I126" s="13" t="str">
        <x:f>IF(H126=0,"Цена есть",IF(G126&gt;0,"Частично покрыто","Нужно найти"))</x:f>
        <x:v>Нужно найти</x:v>
      </x:c>
      <x:c r="J126" s="13" t="str">
        <x:v>Найти цену работы с расходниками. Работа со вспомогательными расходниками</x:v>
      </x:c>
      <x:c r="K126" s="13" t="str"/>
      <x:c r="L126" s="13" t="str">
        <x:v>Местные электромонтажные подрядчики</x:v>
      </x:c>
    </x:row>
    <x:row r="127" ht="54" customHeight="1">
      <x:c r="A127" s="8" t="str">
        <x:v>N119</x:v>
      </x:c>
      <x:c r="B127" s="8" t="str">
        <x:v>Электромонтаж и наружное освещение</x:v>
      </x:c>
      <x:c r="C127" s="8" t="str">
        <x:v>Металлические конструкции - (уголок 40х40х4 мм - 36 пм)</x:v>
      </x:c>
      <x:c r="D127" s="8" t="str">
        <x:v>т</x:v>
      </x:c>
      <x:c r="E127" s="11" t="n">
        <x:f>SUMIFS('Строки сметы'!$H$9:$H$267,'Строки сметы'!$A$9:$A$267,$A127)</x:f>
        <x:v>0.0726</x:v>
      </x:c>
      <x:c r="F127" s="10" t="n">
        <x:f>COUNTIFS('Строки сметы'!$A$9:$A$267,$A127)</x:f>
        <x:v>2</x:v>
      </x:c>
      <x:c r="G127" s="10" t="n">
        <x:f>SUMIFS('Строки сметы'!$K$9:$K$267,'Строки сметы'!$A$9:$A$267,$A127)</x:f>
        <x:v>0</x:v>
      </x:c>
      <x:c r="H127" s="10" t="n">
        <x:f>SUMIFS('Строки сметы'!$J$9:$J$267,'Строки сметы'!$A$9:$A$267,$A127)</x:f>
        <x:v>2</x:v>
      </x:c>
      <x:c r="I127" s="8" t="str">
        <x:f>IF(H127=0,"Цена есть",IF(G127&gt;0,"Частично покрыто","Нужно найти"))</x:f>
        <x:v>Нужно найти</x:v>
      </x:c>
      <x:c r="J127" s="8" t="str">
        <x:v>Найти цену работы с расходниками. Работа со вспомогательными расходниками</x:v>
      </x:c>
      <x:c r="K127" s="8" t="str"/>
      <x:c r="L127" s="8" t="str">
        <x:v>Местные электромонтажные подрядчики</x:v>
      </x:c>
    </x:row>
    <x:row r="128" ht="54" customHeight="1">
      <x:c r="A128" s="13" t="str">
        <x:v>N120</x:v>
      </x:c>
      <x:c r="B128" s="13" t="str">
        <x:v>Электромонтаж и наружное освещение</x:v>
      </x:c>
      <x:c r="C128" s="13" t="str">
        <x:v>Покрытие кабеля, проложенного в траншее: лентой сигнальной</x:v>
      </x:c>
      <x:c r="D128" s="13" t="str">
        <x:v>м</x:v>
      </x:c>
      <x:c r="E128" s="15" t="n">
        <x:f>SUMIFS('Строки сметы'!$H$9:$H$267,'Строки сметы'!$A$9:$A$267,$A128)</x:f>
        <x:v>1055</x:v>
      </x:c>
      <x:c r="F128" s="14" t="n">
        <x:f>COUNTIFS('Строки сметы'!$A$9:$A$267,$A128)</x:f>
        <x:v>2</x:v>
      </x:c>
      <x:c r="G128" s="14" t="n">
        <x:f>SUMIFS('Строки сметы'!$K$9:$K$267,'Строки сметы'!$A$9:$A$267,$A128)</x:f>
        <x:v>0</x:v>
      </x:c>
      <x:c r="H128" s="14" t="n">
        <x:f>SUMIFS('Строки сметы'!$J$9:$J$267,'Строки сметы'!$A$9:$A$267,$A128)</x:f>
        <x:v>2</x:v>
      </x:c>
      <x:c r="I128" s="13" t="str">
        <x:f>IF(H128=0,"Цена есть",IF(G128&gt;0,"Частично покрыто","Нужно найти"))</x:f>
        <x:v>Нужно найти</x:v>
      </x:c>
      <x:c r="J128" s="13" t="str">
        <x:v>Найти цену работы с расходниками. Работа со вспомогательными расходниками</x:v>
      </x:c>
      <x:c r="K128" s="13" t="str"/>
      <x:c r="L128" s="13" t="str">
        <x:v>Местные электромонтажные подрядчики</x:v>
      </x:c>
    </x:row>
    <x:row r="129" ht="54" customHeight="1">
      <x:c r="A129" s="8" t="str">
        <x:v>N121</x:v>
      </x:c>
      <x:c r="B129" s="8" t="str">
        <x:v>Электромонтаж и наружное освещение</x:v>
      </x:c>
      <x:c r="C129" s="8" t="str">
        <x:v>Прибор измерения и защиты, количество подключаемых концов: до 6 - автомат выключатель</x:v>
      </x:c>
      <x:c r="D129" s="8" t="str">
        <x:v>шт</x:v>
      </x:c>
      <x:c r="E129" s="11" t="n">
        <x:f>SUMIFS('Строки сметы'!$H$9:$H$267,'Строки сметы'!$A$9:$A$267,$A129)</x:f>
        <x:v>12</x:v>
      </x:c>
      <x:c r="F129" s="10" t="n">
        <x:f>COUNTIFS('Строки сметы'!$A$9:$A$267,$A129)</x:f>
        <x:v>2</x:v>
      </x:c>
      <x:c r="G129" s="10" t="n">
        <x:f>SUMIFS('Строки сметы'!$K$9:$K$267,'Строки сметы'!$A$9:$A$267,$A129)</x:f>
        <x:v>0</x:v>
      </x:c>
      <x:c r="H129" s="10" t="n">
        <x:f>SUMIFS('Строки сметы'!$J$9:$J$267,'Строки сметы'!$A$9:$A$267,$A129)</x:f>
        <x:v>2</x:v>
      </x:c>
      <x:c r="I129" s="8" t="str">
        <x:f>IF(H129=0,"Цена есть",IF(G129&gt;0,"Частично покрыто","Нужно найти"))</x:f>
        <x:v>Нужно найти</x:v>
      </x:c>
      <x:c r="J129" s="8" t="str">
        <x:v>Найти цену работы с расходниками. Работа со вспомогательными расходниками</x:v>
      </x:c>
      <x:c r="K129" s="8" t="str"/>
      <x:c r="L129" s="8" t="str">
        <x:v>Местные электромонтажные подрядчики</x:v>
      </x:c>
    </x:row>
    <x:row r="130" ht="54" customHeight="1">
      <x:c r="A130" s="13" t="str">
        <x:v>N122</x:v>
      </x:c>
      <x:c r="B130" s="13" t="str">
        <x:v>Электромонтаж и наружное освещение</x:v>
      </x:c>
      <x:c r="C130" s="13" t="str">
        <x:v>Пульт управления напольный, высота до 1200 мм, глубина и ширина по фронту: до 700х600 мм</x:v>
      </x:c>
      <x:c r="D130" s="13" t="str">
        <x:v>шт</x:v>
      </x:c>
      <x:c r="E130" s="15" t="n">
        <x:f>SUMIFS('Строки сметы'!$H$9:$H$267,'Строки сметы'!$A$9:$A$267,$A130)</x:f>
        <x:v>4</x:v>
      </x:c>
      <x:c r="F130" s="14" t="n">
        <x:f>COUNTIFS('Строки сметы'!$A$9:$A$267,$A130)</x:f>
        <x:v>2</x:v>
      </x:c>
      <x:c r="G130" s="14" t="n">
        <x:f>SUMIFS('Строки сметы'!$K$9:$K$267,'Строки сметы'!$A$9:$A$267,$A130)</x:f>
        <x:v>0</x:v>
      </x:c>
      <x:c r="H130" s="14" t="n">
        <x:f>SUMIFS('Строки сметы'!$J$9:$J$267,'Строки сметы'!$A$9:$A$267,$A130)</x:f>
        <x:v>2</x:v>
      </x:c>
      <x:c r="I130" s="13" t="str">
        <x:f>IF(H130=0,"Цена есть",IF(G130&gt;0,"Частично покрыто","Нужно найти"))</x:f>
        <x:v>Нужно найти</x:v>
      </x:c>
      <x:c r="J130" s="13" t="str">
        <x:v>Найти цену работы с расходниками. Работа со вспомогательными расходниками</x:v>
      </x:c>
      <x:c r="K130" s="13" t="str"/>
      <x:c r="L130" s="13" t="str">
        <x:v>Местные электромонтажные подрядчики</x:v>
      </x:c>
    </x:row>
    <x:row r="131" ht="54" customHeight="1">
      <x:c r="A131" s="8" t="str">
        <x:v>N123</x:v>
      </x:c>
      <x:c r="B131" s="8" t="str">
        <x:v>Электромонтаж и наружное освещение</x:v>
      </x:c>
      <x:c r="C131" s="8" t="str">
        <x:v>Шкаф (пульт) управления навесной, высота, ширина и глубина: до 600х600х350 мм</x:v>
      </x:c>
      <x:c r="D131" s="8" t="str">
        <x:v>шт</x:v>
      </x:c>
      <x:c r="E131" s="11" t="n">
        <x:f>SUMIFS('Строки сметы'!$H$9:$H$267,'Строки сметы'!$A$9:$A$267,$A131)</x:f>
        <x:v>4</x:v>
      </x:c>
      <x:c r="F131" s="10" t="n">
        <x:f>COUNTIFS('Строки сметы'!$A$9:$A$267,$A131)</x:f>
        <x:v>2</x:v>
      </x:c>
      <x:c r="G131" s="10" t="n">
        <x:f>SUMIFS('Строки сметы'!$K$9:$K$267,'Строки сметы'!$A$9:$A$267,$A131)</x:f>
        <x:v>0</x:v>
      </x:c>
      <x:c r="H131" s="10" t="n">
        <x:f>SUMIFS('Строки сметы'!$J$9:$J$267,'Строки сметы'!$A$9:$A$267,$A131)</x:f>
        <x:v>2</x:v>
      </x:c>
      <x:c r="I131" s="8" t="str">
        <x:f>IF(H131=0,"Цена есть",IF(G131&gt;0,"Частично покрыто","Нужно найти"))</x:f>
        <x:v>Нужно найти</x:v>
      </x:c>
      <x:c r="J131" s="8" t="str">
        <x:v>Найти цену работы с расходниками. Работа со вспомогательными расходниками</x:v>
      </x:c>
      <x:c r="K131" s="8" t="str"/>
      <x:c r="L131" s="8" t="str">
        <x:v>Местные электромонтажные подрядчики</x:v>
      </x:c>
    </x:row>
    <x:row r="132" ht="54" customHeight="1">
      <x:c r="A132" s="13" t="str">
        <x:v>N124</x:v>
      </x:c>
      <x:c r="B132" s="13" t="str">
        <x:v>Электромонтаж и наружное освещение</x:v>
      </x:c>
      <x:c r="C132" s="13" t="str">
        <x:v>Заземлитель горизонтальный из стали: круглой диаметром 12 мм</x:v>
      </x:c>
      <x:c r="D132" s="13" t="str">
        <x:v>м</x:v>
      </x:c>
      <x:c r="E132" s="15" t="n">
        <x:f>SUMIFS('Строки сметы'!$H$9:$H$267,'Строки сметы'!$A$9:$A$267,$A132)</x:f>
        <x:v>51.6</x:v>
      </x:c>
      <x:c r="F132" s="14" t="n">
        <x:f>COUNTIFS('Строки сметы'!$A$9:$A$267,$A132)</x:f>
        <x:v>1</x:v>
      </x:c>
      <x:c r="G132" s="14" t="n">
        <x:f>SUMIFS('Строки сметы'!$K$9:$K$267,'Строки сметы'!$A$9:$A$267,$A132)</x:f>
        <x:v>0</x:v>
      </x:c>
      <x:c r="H132" s="14" t="n">
        <x:f>SUMIFS('Строки сметы'!$J$9:$J$267,'Строки сметы'!$A$9:$A$267,$A132)</x:f>
        <x:v>1</x:v>
      </x:c>
      <x:c r="I132" s="13" t="str">
        <x:f>IF(H132=0,"Цена есть",IF(G132&gt;0,"Частично покрыто","Нужно найти"))</x:f>
        <x:v>Нужно найти</x:v>
      </x:c>
      <x:c r="J132" s="13" t="str">
        <x:v>Найти цену работы с расходниками. Работа со вспомогательными расходниками</x:v>
      </x:c>
      <x:c r="K132" s="13" t="str"/>
      <x:c r="L132" s="13" t="str">
        <x:v>Местные электромонтажные подрядчики</x:v>
      </x:c>
    </x:row>
    <x:row r="133" ht="54" customHeight="1">
      <x:c r="A133" s="8" t="str">
        <x:v>N125</x:v>
      </x:c>
      <x:c r="B133" s="8" t="str">
        <x:v>Электромонтаж и наружное освещение</x:v>
      </x:c>
      <x:c r="C133" s="8" t="str">
        <x:v>Кабель до 35 кВ в проложенных трубах, блоках и коробах, масса 1 м кабеля: до 1 кг</x:v>
      </x:c>
      <x:c r="D133" s="8" t="str">
        <x:v>м</x:v>
      </x:c>
      <x:c r="E133" s="11" t="n">
        <x:f>SUMIFS('Строки сметы'!$H$9:$H$267,'Строки сметы'!$A$9:$A$267,$A133)</x:f>
        <x:v>695</x:v>
      </x:c>
      <x:c r="F133" s="10" t="n">
        <x:f>COUNTIFS('Строки сметы'!$A$9:$A$267,$A133)</x:f>
        <x:v>1</x:v>
      </x:c>
      <x:c r="G133" s="10" t="n">
        <x:f>SUMIFS('Строки сметы'!$K$9:$K$267,'Строки сметы'!$A$9:$A$267,$A133)</x:f>
        <x:v>0</x:v>
      </x:c>
      <x:c r="H133" s="10" t="n">
        <x:f>SUMIFS('Строки сметы'!$J$9:$J$267,'Строки сметы'!$A$9:$A$267,$A133)</x:f>
        <x:v>1</x:v>
      </x:c>
      <x:c r="I133" s="8" t="str">
        <x:f>IF(H133=0,"Цена есть",IF(G133&gt;0,"Частично покрыто","Нужно найти"))</x:f>
        <x:v>Нужно найти</x:v>
      </x:c>
      <x:c r="J133" s="8" t="str">
        <x:v>Найти цену работы с расходниками. Работа со вспомогательными расходниками</x:v>
      </x:c>
      <x:c r="K133" s="8" t="str"/>
      <x:c r="L133" s="8" t="str">
        <x:v>Местные электромонтажные подрядчики</x:v>
      </x:c>
    </x:row>
    <x:row r="134" ht="54" customHeight="1">
      <x:c r="A134" s="13" t="str">
        <x:v>N126</x:v>
      </x:c>
      <x:c r="B134" s="13" t="str">
        <x:v>Электромонтаж и наружное освещение</x:v>
      </x:c>
      <x:c r="C134" s="13" t="str">
        <x:v>Кабель до 35 кВ в проложенных трубах, блоках и коробах, масса 1 м кабеля: до 2 кг</x:v>
      </x:c>
      <x:c r="D134" s="13" t="str">
        <x:v>м</x:v>
      </x:c>
      <x:c r="E134" s="15" t="n">
        <x:f>SUMIFS('Строки сметы'!$H$9:$H$267,'Строки сметы'!$A$9:$A$267,$A134)</x:f>
        <x:v>345</x:v>
      </x:c>
      <x:c r="F134" s="14" t="n">
        <x:f>COUNTIFS('Строки сметы'!$A$9:$A$267,$A134)</x:f>
        <x:v>1</x:v>
      </x:c>
      <x:c r="G134" s="14" t="n">
        <x:f>SUMIFS('Строки сметы'!$K$9:$K$267,'Строки сметы'!$A$9:$A$267,$A134)</x:f>
        <x:v>0</x:v>
      </x:c>
      <x:c r="H134" s="14" t="n">
        <x:f>SUMIFS('Строки сметы'!$J$9:$J$267,'Строки сметы'!$A$9:$A$267,$A134)</x:f>
        <x:v>1</x:v>
      </x:c>
      <x:c r="I134" s="13" t="str">
        <x:f>IF(H134=0,"Цена есть",IF(G134&gt;0,"Частично покрыто","Нужно найти"))</x:f>
        <x:v>Нужно найти</x:v>
      </x:c>
      <x:c r="J134" s="13" t="str">
        <x:v>Найти цену работы с расходниками. Работа со вспомогательными расходниками</x:v>
      </x:c>
      <x:c r="K134" s="13" t="str"/>
      <x:c r="L134" s="13" t="str">
        <x:v>Местные электромонтажные подрядчики</x:v>
      </x:c>
    </x:row>
    <x:row r="135" ht="54" customHeight="1">
      <x:c r="A135" s="8" t="str">
        <x:v>N127</x:v>
      </x:c>
      <x:c r="B135" s="8" t="str">
        <x:v>Электромонтаж и наружное освещение</x:v>
      </x:c>
      <x:c r="C135" s="8" t="str">
        <x:v>Кабель до 35 кВ в проложенных трубах, блоках и коробах, масса 1 м кабеля: до 6 кг</x:v>
      </x:c>
      <x:c r="D135" s="8" t="str">
        <x:v>м</x:v>
      </x:c>
      <x:c r="E135" s="11" t="n">
        <x:f>SUMIFS('Строки сметы'!$H$9:$H$267,'Строки сметы'!$A$9:$A$267,$A135)</x:f>
        <x:v>345</x:v>
      </x:c>
      <x:c r="F135" s="10" t="n">
        <x:f>COUNTIFS('Строки сметы'!$A$9:$A$267,$A135)</x:f>
        <x:v>1</x:v>
      </x:c>
      <x:c r="G135" s="10" t="n">
        <x:f>SUMIFS('Строки сметы'!$K$9:$K$267,'Строки сметы'!$A$9:$A$267,$A135)</x:f>
        <x:v>0</x:v>
      </x:c>
      <x:c r="H135" s="10" t="n">
        <x:f>SUMIFS('Строки сметы'!$J$9:$J$267,'Строки сметы'!$A$9:$A$267,$A135)</x:f>
        <x:v>1</x:v>
      </x:c>
      <x:c r="I135" s="8" t="str">
        <x:f>IF(H135=0,"Цена есть",IF(G135&gt;0,"Частично покрыто","Нужно найти"))</x:f>
        <x:v>Нужно найти</x:v>
      </x:c>
      <x:c r="J135" s="8" t="str">
        <x:v>Найти цену работы с расходниками. Работа со вспомогательными расходниками</x:v>
      </x:c>
      <x:c r="K135" s="8" t="str"/>
      <x:c r="L135" s="8" t="str">
        <x:v>Местные электромонтажные подрядчики</x:v>
      </x:c>
    </x:row>
    <x:row r="136" ht="54" customHeight="1">
      <x:c r="A136" s="13" t="str">
        <x:v>N128</x:v>
      </x:c>
      <x:c r="B136" s="13" t="str">
        <x:v>Электромонтаж и наружное освещение</x:v>
      </x:c>
      <x:c r="C136" s="13" t="str">
        <x:v>Предохранитель</x:v>
      </x:c>
      <x:c r="D136" s="13" t="str">
        <x:v>шт</x:v>
      </x:c>
      <x:c r="E136" s="15" t="n">
        <x:f>SUMIFS('Строки сметы'!$H$9:$H$267,'Строки сметы'!$A$9:$A$267,$A136)</x:f>
        <x:v>92</x:v>
      </x:c>
      <x:c r="F136" s="14" t="n">
        <x:f>COUNTIFS('Строки сметы'!$A$9:$A$267,$A136)</x:f>
        <x:v>1</x:v>
      </x:c>
      <x:c r="G136" s="14" t="n">
        <x:f>SUMIFS('Строки сметы'!$K$9:$K$267,'Строки сметы'!$A$9:$A$267,$A136)</x:f>
        <x:v>0</x:v>
      </x:c>
      <x:c r="H136" s="14" t="n">
        <x:f>SUMIFS('Строки сметы'!$J$9:$J$267,'Строки сметы'!$A$9:$A$267,$A136)</x:f>
        <x:v>1</x:v>
      </x:c>
      <x:c r="I136" s="13" t="str">
        <x:f>IF(H136=0,"Цена есть",IF(G136&gt;0,"Частично покрыто","Нужно найти"))</x:f>
        <x:v>Нужно найти</x:v>
      </x:c>
      <x:c r="J136" s="13" t="str">
        <x:v>Найти цену работы с расходниками. Работа со вспомогательными расходниками</x:v>
      </x:c>
      <x:c r="K136" s="13" t="str"/>
      <x:c r="L136" s="13" t="str">
        <x:v>Местные электромонтажные подрядчики</x:v>
      </x:c>
    </x:row>
    <x:row r="137" ht="54" customHeight="1">
      <x:c r="A137" s="8" t="str">
        <x:v>N129</x:v>
      </x:c>
      <x:c r="B137" s="8" t="str">
        <x:v>Электромонтаж и наружное освещение</x:v>
      </x:c>
      <x:c r="C137" s="8" t="str">
        <x:v>Прокладка резинобитумных трубок с затягиванием проводов, количество проводов: свыше 2 до 3, сечение провода свыше 35 до 70 мм2 - в опоре</x:v>
      </x:c>
      <x:c r="D137" s="8" t="str">
        <x:v>м</x:v>
      </x:c>
      <x:c r="E137" s="11" t="n">
        <x:f>SUMIFS('Строки сметы'!$H$9:$H$267,'Строки сметы'!$A$9:$A$267,$A137)</x:f>
        <x:v>86</x:v>
      </x:c>
      <x:c r="F137" s="10" t="n">
        <x:f>COUNTIFS('Строки сметы'!$A$9:$A$267,$A137)</x:f>
        <x:v>1</x:v>
      </x:c>
      <x:c r="G137" s="10" t="n">
        <x:f>SUMIFS('Строки сметы'!$K$9:$K$267,'Строки сметы'!$A$9:$A$267,$A137)</x:f>
        <x:v>0</x:v>
      </x:c>
      <x:c r="H137" s="10" t="n">
        <x:f>SUMIFS('Строки сметы'!$J$9:$J$267,'Строки сметы'!$A$9:$A$267,$A137)</x:f>
        <x:v>1</x:v>
      </x:c>
      <x:c r="I137" s="8" t="str">
        <x:f>IF(H137=0,"Цена есть",IF(G137&gt;0,"Частично покрыто","Нужно найти"))</x:f>
        <x:v>Нужно найти</x:v>
      </x:c>
      <x:c r="J137" s="8" t="str">
        <x:v>Найти цену работы с расходниками. Работа со вспомогательными расходниками</x:v>
      </x:c>
      <x:c r="K137" s="8" t="str"/>
      <x:c r="L137" s="8" t="str">
        <x:v>Местные электромонтажные подрядчики</x:v>
      </x:c>
    </x:row>
    <x:row r="138" ht="54" customHeight="1">
      <x:c r="A138" s="13" t="str">
        <x:v>N130</x:v>
      </x:c>
      <x:c r="B138" s="13" t="str">
        <x:v>Электромонтаж и наружное освещение</x:v>
      </x:c>
      <x:c r="C138" s="13" t="str">
        <x:v>Светильник, устанавливаемый вне зданий с лампами: ртутными - светодиодный</x:v>
      </x:c>
      <x:c r="D138" s="13" t="str">
        <x:v>шт</x:v>
      </x:c>
      <x:c r="E138" s="15" t="n">
        <x:f>SUMIFS('Строки сметы'!$H$9:$H$267,'Строки сметы'!$A$9:$A$267,$A138)</x:f>
        <x:v>92</x:v>
      </x:c>
      <x:c r="F138" s="14" t="n">
        <x:f>COUNTIFS('Строки сметы'!$A$9:$A$267,$A138)</x:f>
        <x:v>1</x:v>
      </x:c>
      <x:c r="G138" s="14" t="n">
        <x:f>SUMIFS('Строки сметы'!$K$9:$K$267,'Строки сметы'!$A$9:$A$267,$A138)</x:f>
        <x:v>0</x:v>
      </x:c>
      <x:c r="H138" s="14" t="n">
        <x:f>SUMIFS('Строки сметы'!$J$9:$J$267,'Строки сметы'!$A$9:$A$267,$A138)</x:f>
        <x:v>1</x:v>
      </x:c>
      <x:c r="I138" s="13" t="str">
        <x:f>IF(H138=0,"Цена есть",IF(G138&gt;0,"Частично покрыто","Нужно найти"))</x:f>
        <x:v>Нужно найти</x:v>
      </x:c>
      <x:c r="J138" s="13" t="str">
        <x:v>Найти цену работы с расходниками. Работа со вспомогательными расходниками</x:v>
      </x:c>
      <x:c r="K138" s="13" t="str"/>
      <x:c r="L138" s="13" t="str">
        <x:v>Местные электромонтажные подрядчики</x:v>
      </x:c>
    </x:row>
    <x:row r="139" ht="39" customHeight="1">
      <x:c r="A139" s="8" t="str">
        <x:v>N131</x:v>
      </x:c>
      <x:c r="B139" s="8" t="str">
        <x:v>Электромонтаж и наружное освещение</x:v>
      </x:c>
      <x:c r="C139" s="8" t="str">
        <x:v>Установка опор наружного освещения металлических: фланцевых</x:v>
      </x:c>
      <x:c r="D139" s="8" t="str">
        <x:v>шт</x:v>
      </x:c>
      <x:c r="E139" s="11" t="n">
        <x:f>SUMIFS('Строки сметы'!$H$9:$H$267,'Строки сметы'!$A$9:$A$267,$A139)</x:f>
        <x:v>43</x:v>
      </x:c>
      <x:c r="F139" s="10" t="n">
        <x:f>COUNTIFS('Строки сметы'!$A$9:$A$267,$A139)</x:f>
        <x:v>1</x:v>
      </x:c>
      <x:c r="G139" s="10" t="n">
        <x:f>SUMIFS('Строки сметы'!$K$9:$K$267,'Строки сметы'!$A$9:$A$267,$A139)</x:f>
        <x:v>0</x:v>
      </x:c>
      <x:c r="H139" s="10" t="n">
        <x:f>SUMIFS('Строки сметы'!$J$9:$J$267,'Строки сметы'!$A$9:$A$267,$A139)</x:f>
        <x:v>1</x:v>
      </x:c>
      <x:c r="I139" s="8" t="str">
        <x:f>IF(H139=0,"Цена есть",IF(G139&gt;0,"Частично покрыто","Нужно найти"))</x:f>
        <x:v>Нужно найти</x:v>
      </x:c>
      <x:c r="J139" s="8" t="str">
        <x:v>Найти сопоставимую цену</x:v>
      </x:c>
      <x:c r="K139" s="8" t="str"/>
      <x:c r="L139" s="8" t="str">
        <x:v>Местные электромонтажные подрядчики</x:v>
      </x:c>
    </x:row>
    <x:row r="140" ht="39" customHeight="1">
      <x:c r="A140" s="13" t="str">
        <x:v>N132</x:v>
      </x:c>
      <x:c r="B140" s="13" t="str">
        <x:v>Электромонтаж и наружное освещение</x:v>
      </x:c>
      <x:c r="C140" s="13" t="str">
        <x:v>Установка стальных конструкций, остающихся в теле бетона</x:v>
      </x:c>
      <x:c r="D140" s="13" t="str">
        <x:v>т</x:v>
      </x:c>
      <x:c r="E140" s="15" t="n">
        <x:f>SUMIFS('Строки сметы'!$H$9:$H$267,'Строки сметы'!$A$9:$A$267,$A140)</x:f>
        <x:v>0.454</x:v>
      </x:c>
      <x:c r="F140" s="14" t="n">
        <x:f>COUNTIFS('Строки сметы'!$A$9:$A$267,$A140)</x:f>
        <x:v>1</x:v>
      </x:c>
      <x:c r="G140" s="14" t="n">
        <x:f>SUMIFS('Строки сметы'!$K$9:$K$267,'Строки сметы'!$A$9:$A$267,$A140)</x:f>
        <x:v>0</x:v>
      </x:c>
      <x:c r="H140" s="14" t="n">
        <x:f>SUMIFS('Строки сметы'!$J$9:$J$267,'Строки сметы'!$A$9:$A$267,$A140)</x:f>
        <x:v>1</x:v>
      </x:c>
      <x:c r="I140" s="13" t="str">
        <x:f>IF(H140=0,"Цена есть",IF(G140&gt;0,"Частично покрыто","Нужно найти"))</x:f>
        <x:v>Нужно найти</x:v>
      </x:c>
      <x:c r="J140" s="13" t="str">
        <x:v>Найти сопоставимую цену</x:v>
      </x:c>
      <x:c r="K140" s="13" t="str"/>
      <x:c r="L140" s="13" t="str">
        <x:v>Местные электромонтажные подрядчики</x:v>
      </x:c>
    </x:row>
    <x:row r="141" ht="39" customHeight="1">
      <x:c r="A141" s="8" t="str">
        <x:v>N133</x:v>
      </x:c>
      <x:c r="B141" s="8" t="str">
        <x:v>Электромонтаж и наружное освещение</x:v>
      </x:c>
      <x:c r="C141" s="8" t="str">
        <x:v>Устройство трубопроводов из полиэтиленовых труб: до 2 отверстий - Ø 25 мм, Ø 40 мм, Ø 50 мм</x:v>
      </x:c>
      <x:c r="D141" s="8" t="str">
        <x:v>канал.км</x:v>
      </x:c>
      <x:c r="E141" s="11" t="n">
        <x:f>SUMIFS('Строки сметы'!$H$9:$H$267,'Строки сметы'!$A$9:$A$267,$A141)</x:f>
        <x:v>2.133</x:v>
      </x:c>
      <x:c r="F141" s="10" t="n">
        <x:f>COUNTIFS('Строки сметы'!$A$9:$A$267,$A141)</x:f>
        <x:v>1</x:v>
      </x:c>
      <x:c r="G141" s="10" t="n">
        <x:f>SUMIFS('Строки сметы'!$K$9:$K$267,'Строки сметы'!$A$9:$A$267,$A141)</x:f>
        <x:v>0</x:v>
      </x:c>
      <x:c r="H141" s="10" t="n">
        <x:f>SUMIFS('Строки сметы'!$J$9:$J$267,'Строки сметы'!$A$9:$A$267,$A141)</x:f>
        <x:v>1</x:v>
      </x:c>
      <x:c r="I141" s="8" t="str">
        <x:f>IF(H141=0,"Цена есть",IF(G141&gt;0,"Частично покрыто","Нужно найти"))</x:f>
        <x:v>Нужно найти</x:v>
      </x:c>
      <x:c r="J141" s="8" t="str">
        <x:v>Найти сопоставимую цену</x:v>
      </x:c>
      <x:c r="K141" s="8" t="str"/>
      <x:c r="L141" s="8" t="str">
        <x:v>Местные электромонтажные подрядчики</x:v>
      </x:c>
    </x:row>
    <x:row r="142" ht="39" customHeight="1">
      <x:c r="A142" s="13" t="str">
        <x:v>N134</x:v>
      </x:c>
      <x:c r="B142" s="13" t="str">
        <x:v>Электромонтаж и наружное освещение</x:v>
      </x:c>
      <x:c r="C142" s="13" t="str">
        <x:v>Устройство трубопроводов из полиэтиленовых труб: до 2 отверстий - Ø50 мм и Ø110 мм</x:v>
      </x:c>
      <x:c r="D142" s="13" t="str">
        <x:v>канал.км</x:v>
      </x:c>
      <x:c r="E142" s="15" t="n">
        <x:f>SUMIFS('Строки сметы'!$H$9:$H$267,'Строки сметы'!$A$9:$A$267,$A142)</x:f>
        <x:v>1.385</x:v>
      </x:c>
      <x:c r="F142" s="14" t="n">
        <x:f>COUNTIFS('Строки сметы'!$A$9:$A$267,$A142)</x:f>
        <x:v>1</x:v>
      </x:c>
      <x:c r="G142" s="14" t="n">
        <x:f>SUMIFS('Строки сметы'!$K$9:$K$267,'Строки сметы'!$A$9:$A$267,$A142)</x:f>
        <x:v>0</x:v>
      </x:c>
      <x:c r="H142" s="14" t="n">
        <x:f>SUMIFS('Строки сметы'!$J$9:$J$267,'Строки сметы'!$A$9:$A$267,$A142)</x:f>
        <x:v>1</x:v>
      </x:c>
      <x:c r="I142" s="13" t="str">
        <x:f>IF(H142=0,"Цена есть",IF(G142&gt;0,"Частично покрыто","Нужно найти"))</x:f>
        <x:v>Нужно найти</x:v>
      </x:c>
      <x:c r="J142" s="13" t="str">
        <x:v>Найти сопоставимую цену</x:v>
      </x:c>
      <x:c r="K142" s="13" t="str"/>
      <x:c r="L142" s="13" t="str">
        <x:v>Местные электромонтажные подрядчики</x:v>
      </x:c>
    </x:row>
    <x:row r="143" ht="54" customHeight="1">
      <x:c r="A143" s="8" t="str">
        <x:v>N135</x:v>
      </x:c>
      <x:c r="B143" s="8" t="str">
        <x:v>Электромонтаж и наружное освещение</x:v>
      </x:c>
      <x:c r="C143" s="8" t="str">
        <x:v>Электрические проводки в щитах и пультах: шкафных и панельных</x:v>
      </x:c>
      <x:c r="D143" s="8" t="str">
        <x:v>м</x:v>
      </x:c>
      <x:c r="E143" s="11" t="n">
        <x:f>SUMIFS('Строки сметы'!$H$9:$H$267,'Строки сметы'!$A$9:$A$267,$A143)</x:f>
        <x:v>80</x:v>
      </x:c>
      <x:c r="F143" s="10" t="n">
        <x:f>COUNTIFS('Строки сметы'!$A$9:$A$267,$A143)</x:f>
        <x:v>1</x:v>
      </x:c>
      <x:c r="G143" s="10" t="n">
        <x:f>SUMIFS('Строки сметы'!$K$9:$K$267,'Строки сметы'!$A$9:$A$267,$A143)</x:f>
        <x:v>0</x:v>
      </x:c>
      <x:c r="H143" s="10" t="n">
        <x:f>SUMIFS('Строки сметы'!$J$9:$J$267,'Строки сметы'!$A$9:$A$267,$A143)</x:f>
        <x:v>1</x:v>
      </x:c>
      <x:c r="I143" s="8" t="str">
        <x:f>IF(H143=0,"Цена есть",IF(G143&gt;0,"Частично покрыто","Нужно найти"))</x:f>
        <x:v>Нужно найти</x:v>
      </x:c>
      <x:c r="J143" s="8" t="str">
        <x:v>Найти цену работы с расходниками. Работа со вспомогательными расходниками</x:v>
      </x:c>
      <x:c r="K143" s="8" t="str"/>
      <x:c r="L143" s="8" t="str">
        <x:v>Местные электромонтажные подрядчики</x:v>
      </x:c>
    </x:row>
    <x:row r="144" ht="54" customHeight="1">
      <x:c r="A144" s="13" t="str">
        <x:v>N136</x:v>
      </x:c>
      <x:c r="B144" s="13" t="str">
        <x:v>Монтаж связи и видеонаблюдения</x:v>
      </x:c>
      <x:c r="C144" s="13" t="str">
        <x:v>Аппаратура телевизионная с 1 малогабаритной беструбочной камерой - видеокамера</x:v>
      </x:c>
      <x:c r="D144" s="13" t="str">
        <x:v>компл</x:v>
      </x:c>
      <x:c r="E144" s="15" t="n">
        <x:f>SUMIFS('Строки сметы'!$H$9:$H$267,'Строки сметы'!$A$9:$A$267,$A144)</x:f>
        <x:v>28</x:v>
      </x:c>
      <x:c r="F144" s="14" t="n">
        <x:f>COUNTIFS('Строки сметы'!$A$9:$A$267,$A144)</x:f>
        <x:v>1</x:v>
      </x:c>
      <x:c r="G144" s="14" t="n">
        <x:f>SUMIFS('Строки сметы'!$K$9:$K$267,'Строки сметы'!$A$9:$A$267,$A144)</x:f>
        <x:v>0</x:v>
      </x:c>
      <x:c r="H144" s="14" t="n">
        <x:f>SUMIFS('Строки сметы'!$J$9:$J$267,'Строки сметы'!$A$9:$A$267,$A144)</x:f>
        <x:v>1</x:v>
      </x:c>
      <x:c r="I144" s="13" t="str">
        <x:f>IF(H144=0,"Цена есть",IF(G144&gt;0,"Частично покрыто","Нужно найти"))</x:f>
        <x:v>Нужно найти</x:v>
      </x:c>
      <x:c r="J144" s="13" t="str">
        <x:v>Найти цену работы с расходниками. Работа со вспомогательными расходниками</x:v>
      </x:c>
      <x:c r="K144" s="13" t="str"/>
      <x:c r="L144" s="13" t="str">
        <x:v>Местные подрядчики по СКС, оптике и видеонаблюдению</x:v>
      </x:c>
    </x:row>
    <x:row r="145" ht="54" customHeight="1">
      <x:c r="A145" s="8" t="str">
        <x:v>N137</x:v>
      </x:c>
      <x:c r="B145" s="8" t="str">
        <x:v>Монтаж связи и видеонаблюдения</x:v>
      </x:c>
      <x:c r="C145" s="8" t="str">
        <x:v>Включение в аппаратуру разъемов штепсельных, количество контактов в разъеме: до 14 шт. - коннекторы</x:v>
      </x:c>
      <x:c r="D145" s="8" t="str">
        <x:v>шт</x:v>
      </x:c>
      <x:c r="E145" s="11" t="n">
        <x:f>SUMIFS('Строки сметы'!$H$9:$H$267,'Строки сметы'!$A$9:$A$267,$A145)</x:f>
        <x:v>56</x:v>
      </x:c>
      <x:c r="F145" s="10" t="n">
        <x:f>COUNTIFS('Строки сметы'!$A$9:$A$267,$A145)</x:f>
        <x:v>1</x:v>
      </x:c>
      <x:c r="G145" s="10" t="n">
        <x:f>SUMIFS('Строки сметы'!$K$9:$K$267,'Строки сметы'!$A$9:$A$267,$A145)</x:f>
        <x:v>0</x:v>
      </x:c>
      <x:c r="H145" s="10" t="n">
        <x:f>SUMIFS('Строки сметы'!$J$9:$J$267,'Строки сметы'!$A$9:$A$267,$A145)</x:f>
        <x:v>1</x:v>
      </x:c>
      <x:c r="I145" s="8" t="str">
        <x:f>IF(H145=0,"Цена есть",IF(G145&gt;0,"Частично покрыто","Нужно найти"))</x:f>
        <x:v>Нужно найти</x:v>
      </x:c>
      <x:c r="J145" s="8" t="str">
        <x:v>Найти цену работы с расходниками. Работа со вспомогательными расходниками</x:v>
      </x:c>
      <x:c r="K145" s="8" t="str"/>
      <x:c r="L145" s="8" t="str">
        <x:v>Местные подрядчики по СКС, оптике и видеонаблюдению</x:v>
      </x:c>
    </x:row>
    <x:row r="146" ht="54" customHeight="1">
      <x:c r="A146" s="13" t="str">
        <x:v>N138</x:v>
      </x:c>
      <x:c r="B146" s="13" t="str">
        <x:v>Монтаж связи и видеонаблюдения</x:v>
      </x:c>
      <x:c r="C146" s="13" t="str">
        <x:v>Монтаж оптического кросса с учетом измерений на волоконно- оптическом кабеле с числом волокон: 4 - оптич бокс (кросс)</x:v>
      </x:c>
      <x:c r="D146" s="13" t="str">
        <x:v>шт</x:v>
      </x:c>
      <x:c r="E146" s="15" t="n">
        <x:f>SUMIFS('Строки сметы'!$H$9:$H$267,'Строки сметы'!$A$9:$A$267,$A146)</x:f>
        <x:v>1</x:v>
      </x:c>
      <x:c r="F146" s="14" t="n">
        <x:f>COUNTIFS('Строки сметы'!$A$9:$A$267,$A146)</x:f>
        <x:v>1</x:v>
      </x:c>
      <x:c r="G146" s="14" t="n">
        <x:f>SUMIFS('Строки сметы'!$K$9:$K$267,'Строки сметы'!$A$9:$A$267,$A146)</x:f>
        <x:v>0</x:v>
      </x:c>
      <x:c r="H146" s="14" t="n">
        <x:f>SUMIFS('Строки сметы'!$J$9:$J$267,'Строки сметы'!$A$9:$A$267,$A146)</x:f>
        <x:v>1</x:v>
      </x:c>
      <x:c r="I146" s="13" t="str">
        <x:f>IF(H146=0,"Цена есть",IF(G146&gt;0,"Частично покрыто","Нужно найти"))</x:f>
        <x:v>Нужно найти</x:v>
      </x:c>
      <x:c r="J146" s="13" t="str">
        <x:v>Найти цену работы с расходниками. Работа со вспомогательными расходниками</x:v>
      </x:c>
      <x:c r="K146" s="13" t="str"/>
      <x:c r="L146" s="13" t="str">
        <x:v>Местные подрядчики по СКС, оптике и видеонаблюдению</x:v>
      </x:c>
    </x:row>
    <x:row r="147" ht="54" customHeight="1">
      <x:c r="A147" s="8" t="str">
        <x:v>N139</x:v>
      </x:c>
      <x:c r="B147" s="8" t="str">
        <x:v>Монтаж связи и видеонаблюдения</x:v>
      </x:c>
      <x:c r="C147" s="8" t="str">
        <x:v>Настройка простых сетевых трактов: конфигурация и настройка сетевых компонентов (мост, маршрутизатор, модем и т.п.) - коммутатор</x:v>
      </x:c>
      <x:c r="D147" s="8" t="str">
        <x:v>шт</x:v>
      </x:c>
      <x:c r="E147" s="11" t="n">
        <x:f>SUMIFS('Строки сметы'!$H$9:$H$267,'Строки сметы'!$A$9:$A$267,$A147)</x:f>
        <x:v>12</x:v>
      </x:c>
      <x:c r="F147" s="10" t="n">
        <x:f>COUNTIFS('Строки сметы'!$A$9:$A$267,$A147)</x:f>
        <x:v>1</x:v>
      </x:c>
      <x:c r="G147" s="10" t="n">
        <x:f>SUMIFS('Строки сметы'!$K$9:$K$267,'Строки сметы'!$A$9:$A$267,$A147)</x:f>
        <x:v>0</x:v>
      </x:c>
      <x:c r="H147" s="10" t="n">
        <x:f>SUMIFS('Строки сметы'!$J$9:$J$267,'Строки сметы'!$A$9:$A$267,$A147)</x:f>
        <x:v>1</x:v>
      </x:c>
      <x:c r="I147" s="8" t="str">
        <x:f>IF(H147=0,"Цена есть",IF(G147&gt;0,"Частично покрыто","Нужно найти"))</x:f>
        <x:v>Нужно найти</x:v>
      </x:c>
      <x:c r="J147" s="8" t="str">
        <x:v>Найти цену работы с расходниками. Работа со вспомогательными расходниками</x:v>
      </x:c>
      <x:c r="K147" s="8" t="str"/>
      <x:c r="L147" s="8" t="str">
        <x:v>Местные подрядчики по СКС, оптике и видеонаблюдению</x:v>
      </x:c>
    </x:row>
    <x:row r="148" ht="54" customHeight="1">
      <x:c r="A148" s="13" t="str">
        <x:v>N140</x:v>
      </x:c>
      <x:c r="B148" s="13" t="str">
        <x:v>Монтаж связи и видеонаблюдения</x:v>
      </x:c>
      <x:c r="C148" s="13" t="str">
        <x:v>Приборы, устанавливаемые на металлоконструкциях, щитах и пультах, масса: до 5 кг - коммутатор</x:v>
      </x:c>
      <x:c r="D148" s="13" t="str">
        <x:v>шт</x:v>
      </x:c>
      <x:c r="E148" s="15" t="n">
        <x:f>SUMIFS('Строки сметы'!$H$9:$H$267,'Строки сметы'!$A$9:$A$267,$A148)</x:f>
        <x:v>12</x:v>
      </x:c>
      <x:c r="F148" s="14" t="n">
        <x:f>COUNTIFS('Строки сметы'!$A$9:$A$267,$A148)</x:f>
        <x:v>1</x:v>
      </x:c>
      <x:c r="G148" s="14" t="n">
        <x:f>SUMIFS('Строки сметы'!$K$9:$K$267,'Строки сметы'!$A$9:$A$267,$A148)</x:f>
        <x:v>0</x:v>
      </x:c>
      <x:c r="H148" s="14" t="n">
        <x:f>SUMIFS('Строки сметы'!$J$9:$J$267,'Строки сметы'!$A$9:$A$267,$A148)</x:f>
        <x:v>1</x:v>
      </x:c>
      <x:c r="I148" s="13" t="str">
        <x:f>IF(H148=0,"Цена есть",IF(G148&gt;0,"Частично покрыто","Нужно найти"))</x:f>
        <x:v>Нужно найти</x:v>
      </x:c>
      <x:c r="J148" s="13" t="str">
        <x:v>Найти цену работы с расходниками. Работа со вспомогательными расходниками</x:v>
      </x:c>
      <x:c r="K148" s="13" t="str"/>
      <x:c r="L148" s="13" t="str">
        <x:v>Местные подрядчики по СКС, оптике и видеонаблюдению</x:v>
      </x:c>
    </x:row>
    <x:row r="149" ht="54" customHeight="1">
      <x:c r="A149" s="8" t="str">
        <x:v>N141</x:v>
      </x:c>
      <x:c r="B149" s="8" t="str">
        <x:v>Монтаж связи и видеонаблюдения</x:v>
      </x:c>
      <x:c r="C149" s="8" t="str">
        <x:v>Прокладка волоконно-оптических кабелей в канализации: в трубопроводе по свободному каналу</x:v>
      </x:c>
      <x:c r="D149" s="8" t="str">
        <x:v>м</x:v>
      </x:c>
      <x:c r="E149" s="11" t="n">
        <x:f>SUMIFS('Строки сметы'!$H$9:$H$267,'Строки сметы'!$A$9:$A$267,$A149)</x:f>
        <x:v>2133</x:v>
      </x:c>
      <x:c r="F149" s="10" t="n">
        <x:f>COUNTIFS('Строки сметы'!$A$9:$A$267,$A149)</x:f>
        <x:v>1</x:v>
      </x:c>
      <x:c r="G149" s="10" t="n">
        <x:f>SUMIFS('Строки сметы'!$K$9:$K$267,'Строки сметы'!$A$9:$A$267,$A149)</x:f>
        <x:v>0</x:v>
      </x:c>
      <x:c r="H149" s="10" t="n">
        <x:f>SUMIFS('Строки сметы'!$J$9:$J$267,'Строки сметы'!$A$9:$A$267,$A149)</x:f>
        <x:v>1</x:v>
      </x:c>
      <x:c r="I149" s="8" t="str">
        <x:f>IF(H149=0,"Цена есть",IF(G149&gt;0,"Частично покрыто","Нужно найти"))</x:f>
        <x:v>Нужно найти</x:v>
      </x:c>
      <x:c r="J149" s="8" t="str">
        <x:v>Найти цену работы с расходниками. Работа со вспомогательными расходниками</x:v>
      </x:c>
      <x:c r="K149" s="8" t="str"/>
      <x:c r="L149" s="8" t="str">
        <x:v>Местные подрядчики по СКС, оптике и видеонаблюдению</x:v>
      </x:c>
    </x:row>
    <x:row r="150" ht="54" customHeight="1">
      <x:c r="A150" s="13" t="str">
        <x:v>N142</x:v>
      </x:c>
      <x:c r="B150" s="13" t="str">
        <x:v>Монтаж связи и видеонаблюдения</x:v>
      </x:c>
      <x:c r="C150" s="13" t="str">
        <x:v>Съемные и выдвижные блоки (модули, ячейки, ТЭЗ), масса: до 5 кг - КВМ консоль</x:v>
      </x:c>
      <x:c r="D150" s="13" t="str">
        <x:v>шт</x:v>
      </x:c>
      <x:c r="E150" s="15" t="n">
        <x:f>SUMIFS('Строки сметы'!$H$9:$H$267,'Строки сметы'!$A$9:$A$267,$A150)</x:f>
        <x:v>1</x:v>
      </x:c>
      <x:c r="F150" s="14" t="n">
        <x:f>COUNTIFS('Строки сметы'!$A$9:$A$267,$A150)</x:f>
        <x:v>1</x:v>
      </x:c>
      <x:c r="G150" s="14" t="n">
        <x:f>SUMIFS('Строки сметы'!$K$9:$K$267,'Строки сметы'!$A$9:$A$267,$A150)</x:f>
        <x:v>0</x:v>
      </x:c>
      <x:c r="H150" s="14" t="n">
        <x:f>SUMIFS('Строки сметы'!$J$9:$J$267,'Строки сметы'!$A$9:$A$267,$A150)</x:f>
        <x:v>1</x:v>
      </x:c>
      <x:c r="I150" s="13" t="str">
        <x:f>IF(H150=0,"Цена есть",IF(G150&gt;0,"Частично покрыто","Нужно найти"))</x:f>
        <x:v>Нужно найти</x:v>
      </x:c>
      <x:c r="J150" s="13" t="str">
        <x:v>Найти цену работы с расходниками. Работа со вспомогательными расходниками</x:v>
      </x:c>
      <x:c r="K150" s="13" t="str"/>
      <x:c r="L150" s="13" t="str">
        <x:v>Местные подрядчики по СКС, оптике и видеонаблюдению</x:v>
      </x:c>
    </x:row>
    <x:row r="151" ht="54" customHeight="1">
      <x:c r="A151" s="8" t="str">
        <x:v>N143</x:v>
      </x:c>
      <x:c r="B151" s="8" t="str">
        <x:v>Монтаж связи и видеонаблюдения</x:v>
      </x:c>
      <x:c r="C151" s="8" t="str">
        <x:v>Съемные и выдвижные блоки (модули, ячейки, ТЭЗ), масса: до 5 кг - жесткий диск</x:v>
      </x:c>
      <x:c r="D151" s="8" t="str">
        <x:v>шт</x:v>
      </x:c>
      <x:c r="E151" s="11" t="n">
        <x:f>SUMIFS('Строки сметы'!$H$9:$H$267,'Строки сметы'!$A$9:$A$267,$A151)</x:f>
        <x:v>4</x:v>
      </x:c>
      <x:c r="F151" s="10" t="n">
        <x:f>COUNTIFS('Строки сметы'!$A$9:$A$267,$A151)</x:f>
        <x:v>1</x:v>
      </x:c>
      <x:c r="G151" s="10" t="n">
        <x:f>SUMIFS('Строки сметы'!$K$9:$K$267,'Строки сметы'!$A$9:$A$267,$A151)</x:f>
        <x:v>0</x:v>
      </x:c>
      <x:c r="H151" s="10" t="n">
        <x:f>SUMIFS('Строки сметы'!$J$9:$J$267,'Строки сметы'!$A$9:$A$267,$A151)</x:f>
        <x:v>1</x:v>
      </x:c>
      <x:c r="I151" s="8" t="str">
        <x:f>IF(H151=0,"Цена есть",IF(G151&gt;0,"Частично покрыто","Нужно найти"))</x:f>
        <x:v>Нужно найти</x:v>
      </x:c>
      <x:c r="J151" s="8" t="str">
        <x:v>Найти цену работы с расходниками. Работа со вспомогательными расходниками</x:v>
      </x:c>
      <x:c r="K151" s="8" t="str"/>
      <x:c r="L151" s="8" t="str">
        <x:v>Местные подрядчики по СКС, оптике и видеонаблюдению</x:v>
      </x:c>
    </x:row>
    <x:row r="152" ht="54" customHeight="1">
      <x:c r="A152" s="13" t="str">
        <x:v>N144</x:v>
      </x:c>
      <x:c r="B152" s="13" t="str">
        <x:v>Монтаж связи и видеонаблюдения</x:v>
      </x:c>
      <x:c r="C152" s="13" t="str">
        <x:v>Устройство ультразвуковое,: блок питания и контроля - источник бесперебойного питания</x:v>
      </x:c>
      <x:c r="D152" s="13" t="str">
        <x:v>шт</x:v>
      </x:c>
      <x:c r="E152" s="15" t="n">
        <x:f>SUMIFS('Строки сметы'!$H$9:$H$267,'Строки сметы'!$A$9:$A$267,$A152)</x:f>
        <x:v>1</x:v>
      </x:c>
      <x:c r="F152" s="14" t="n">
        <x:f>COUNTIFS('Строки сметы'!$A$9:$A$267,$A152)</x:f>
        <x:v>1</x:v>
      </x:c>
      <x:c r="G152" s="14" t="n">
        <x:f>SUMIFS('Строки сметы'!$K$9:$K$267,'Строки сметы'!$A$9:$A$267,$A152)</x:f>
        <x:v>0</x:v>
      </x:c>
      <x:c r="H152" s="14" t="n">
        <x:f>SUMIFS('Строки сметы'!$J$9:$J$267,'Строки сметы'!$A$9:$A$267,$A152)</x:f>
        <x:v>1</x:v>
      </x:c>
      <x:c r="I152" s="13" t="str">
        <x:f>IF(H152=0,"Цена есть",IF(G152&gt;0,"Частично покрыто","Нужно найти"))</x:f>
        <x:v>Нужно найти</x:v>
      </x:c>
      <x:c r="J152" s="13" t="str">
        <x:v>Найти цену работы с расходниками. Работа со вспомогательными расходниками</x:v>
      </x:c>
      <x:c r="K152" s="13" t="str"/>
      <x:c r="L152" s="13" t="str">
        <x:v>Местные подрядчики по СКС, оптике и видеонаблюдению</x:v>
      </x:c>
    </x:row>
    <x:row r="153" ht="54" customHeight="1">
      <x:c r="A153" s="8" t="str">
        <x:v>N145</x:v>
      </x:c>
      <x:c r="B153" s="8" t="str">
        <x:v>Монтаж связи и видеонаблюдения</x:v>
      </x:c>
      <x:c r="C153" s="8" t="str">
        <x:v>Шкаф (пульт) управления навесной, высота, ширина и глубина: до 900х600х500 мм - ШРН-Э-12.650.1</x:v>
      </x:c>
      <x:c r="D153" s="8" t="str">
        <x:v>шт</x:v>
      </x:c>
      <x:c r="E153" s="11" t="n">
        <x:f>SUMIFS('Строки сметы'!$H$9:$H$267,'Строки сметы'!$A$9:$A$267,$A153)</x:f>
        <x:v>1</x:v>
      </x:c>
      <x:c r="F153" s="10" t="n">
        <x:f>COUNTIFS('Строки сметы'!$A$9:$A$267,$A153)</x:f>
        <x:v>1</x:v>
      </x:c>
      <x:c r="G153" s="10" t="n">
        <x:f>SUMIFS('Строки сметы'!$K$9:$K$267,'Строки сметы'!$A$9:$A$267,$A153)</x:f>
        <x:v>0</x:v>
      </x:c>
      <x:c r="H153" s="10" t="n">
        <x:f>SUMIFS('Строки сметы'!$J$9:$J$267,'Строки сметы'!$A$9:$A$267,$A153)</x:f>
        <x:v>1</x:v>
      </x:c>
      <x:c r="I153" s="8" t="str">
        <x:f>IF(H153=0,"Цена есть",IF(G153&gt;0,"Частично покрыто","Нужно найти"))</x:f>
        <x:v>Нужно найти</x:v>
      </x:c>
      <x:c r="J153" s="8" t="str">
        <x:v>Найти цену работы с расходниками. Работа со вспомогательными расходниками</x:v>
      </x:c>
      <x:c r="K153" s="8" t="str"/>
      <x:c r="L153" s="8" t="str">
        <x:v>Местные подрядчики по СКС, оптике и видеонаблюдению</x:v>
      </x:c>
    </x:row>
    <x:row r="154" ht="54" customHeight="1">
      <x:c r="A154" s="13" t="str">
        <x:v>N146</x:v>
      </x:c>
      <x:c r="B154" s="13" t="str">
        <x:v>Монтаж связи и видеонаблюдения</x:v>
      </x:c>
      <x:c r="C154" s="13" t="str">
        <x:v>Ящик для трубных проводок протяжной или коробка, размер: до 200х200 мм - монтажная коробка для видеокамеры</x:v>
      </x:c>
      <x:c r="D154" s="13" t="str">
        <x:v>шт</x:v>
      </x:c>
      <x:c r="E154" s="15" t="n">
        <x:f>SUMIFS('Строки сметы'!$H$9:$H$267,'Строки сметы'!$A$9:$A$267,$A154)</x:f>
        <x:v>28</x:v>
      </x:c>
      <x:c r="F154" s="14" t="n">
        <x:f>COUNTIFS('Строки сметы'!$A$9:$A$267,$A154)</x:f>
        <x:v>1</x:v>
      </x:c>
      <x:c r="G154" s="14" t="n">
        <x:f>SUMIFS('Строки сметы'!$K$9:$K$267,'Строки сметы'!$A$9:$A$267,$A154)</x:f>
        <x:v>0</x:v>
      </x:c>
      <x:c r="H154" s="14" t="n">
        <x:f>SUMIFS('Строки сметы'!$J$9:$J$267,'Строки сметы'!$A$9:$A$267,$A154)</x:f>
        <x:v>1</x:v>
      </x:c>
      <x:c r="I154" s="13" t="str">
        <x:f>IF(H154=0,"Цена есть",IF(G154&gt;0,"Частично покрыто","Нужно найти"))</x:f>
        <x:v>Нужно найти</x:v>
      </x:c>
      <x:c r="J154" s="13" t="str">
        <x:v>Найти цену работы с расходниками. Работа со вспомогательными расходниками</x:v>
      </x:c>
      <x:c r="K154" s="13" t="str"/>
      <x:c r="L154" s="13" t="str">
        <x:v>Местные подрядчики по СКС, оптике и видеонаблюдению</x:v>
      </x:c>
    </x:row>
    <x:row r="155" ht="69" customHeight="1">
      <x:c r="A155" s="8" t="str">
        <x:v>N147</x:v>
      </x:c>
      <x:c r="B155" s="8" t="str">
        <x:v>Измерения и испытания</x:v>
      </x:c>
      <x:c r="C155" s="8" t="str">
        <x:v>Измерение сопротивления изоляции (на линию) мегаомметром кабельных и других линий напряжением до 1 кВ, предназначенных для передачи электроэнергии к распределительным устройствам, щитам, шкафам, коммутационным аппаратам и электропотребителям</x:v>
      </x:c>
      <x:c r="D155" s="8" t="str">
        <x:v>шт</x:v>
      </x:c>
      <x:c r="E155" s="11" t="n">
        <x:f>SUMIFS('Строки сметы'!$H$9:$H$267,'Строки сметы'!$A$9:$A$267,$A155)</x:f>
        <x:v>12</x:v>
      </x:c>
      <x:c r="F155" s="10" t="n">
        <x:f>COUNTIFS('Строки сметы'!$A$9:$A$267,$A155)</x:f>
        <x:v>2</x:v>
      </x:c>
      <x:c r="G155" s="10" t="n">
        <x:f>SUMIFS('Строки сметы'!$K$9:$K$267,'Строки сметы'!$A$9:$A$267,$A155)</x:f>
        <x:v>0</x:v>
      </x:c>
      <x:c r="H155" s="10" t="n">
        <x:f>SUMIFS('Строки сметы'!$J$9:$J$267,'Строки сметы'!$A$9:$A$267,$A155)</x:f>
        <x:v>2</x:v>
      </x:c>
      <x:c r="I155" s="8" t="str">
        <x:f>IF(H155=0,"Цена есть",IF(G155&gt;0,"Частично покрыто","Нужно найти"))</x:f>
        <x:v>Нужно найти</x:v>
      </x:c>
      <x:c r="J155" s="8" t="str">
        <x:v>Найти сопоставимую цену</x:v>
      </x:c>
      <x:c r="K155" s="8" t="str"/>
      <x:c r="L155" s="8" t="str">
        <x:v>Электролаборатории и специалисты по измерению оптики</x:v>
      </x:c>
    </x:row>
    <x:row r="156" ht="39" customHeight="1">
      <x:c r="A156" s="13" t="str">
        <x:v>N148</x:v>
      </x:c>
      <x:c r="B156" s="13" t="str">
        <x:v>Измерения и испытания</x:v>
      </x:c>
      <x:c r="C156" s="13" t="str">
        <x:v>Измерение сопротивления растеканию тока: заземлителя</x:v>
      </x:c>
      <x:c r="D156" s="13" t="str">
        <x:v>измерение</x:v>
      </x:c>
      <x:c r="E156" s="15" t="n">
        <x:f>SUMIFS('Строки сметы'!$H$9:$H$267,'Строки сметы'!$A$9:$A$267,$A156)</x:f>
        <x:v>46</x:v>
      </x:c>
      <x:c r="F156" s="14" t="n">
        <x:f>COUNTIFS('Строки сметы'!$A$9:$A$267,$A156)</x:f>
        <x:v>2</x:v>
      </x:c>
      <x:c r="G156" s="14" t="n">
        <x:f>SUMIFS('Строки сметы'!$K$9:$K$267,'Строки сметы'!$A$9:$A$267,$A156)</x:f>
        <x:v>0</x:v>
      </x:c>
      <x:c r="H156" s="14" t="n">
        <x:f>SUMIFS('Строки сметы'!$J$9:$J$267,'Строки сметы'!$A$9:$A$267,$A156)</x:f>
        <x:v>2</x:v>
      </x:c>
      <x:c r="I156" s="13" t="str">
        <x:f>IF(H156=0,"Цена есть",IF(G156&gt;0,"Частично покрыто","Нужно найти"))</x:f>
        <x:v>Нужно найти</x:v>
      </x:c>
      <x:c r="J156" s="13" t="str">
        <x:v>Найти сопоставимую цену</x:v>
      </x:c>
      <x:c r="K156" s="13" t="str"/>
      <x:c r="L156" s="13" t="str">
        <x:v>Электролаборатории и специалисты по измерению оптики</x:v>
      </x:c>
    </x:row>
    <x:row r="157" ht="39" customHeight="1">
      <x:c r="A157" s="8" t="str">
        <x:v>N149</x:v>
      </x:c>
      <x:c r="B157" s="8" t="str">
        <x:v>Измерения и испытания</x:v>
      </x:c>
      <x:c r="C157" s="8" t="str">
        <x:v>Испытание кабеля силового длиной до 500 м напряжением до 1 кВ</x:v>
      </x:c>
      <x:c r="D157" s="8" t="str">
        <x:v>испытание</x:v>
      </x:c>
      <x:c r="E157" s="11" t="n">
        <x:f>SUMIFS('Строки сметы'!$H$9:$H$267,'Строки сметы'!$A$9:$A$267,$A157)</x:f>
        <x:v>51</x:v>
      </x:c>
      <x:c r="F157" s="10" t="n">
        <x:f>COUNTIFS('Строки сметы'!$A$9:$A$267,$A157)</x:f>
        <x:v>2</x:v>
      </x:c>
      <x:c r="G157" s="10" t="n">
        <x:f>SUMIFS('Строки сметы'!$K$9:$K$267,'Строки сметы'!$A$9:$A$267,$A157)</x:f>
        <x:v>0</x:v>
      </x:c>
      <x:c r="H157" s="10" t="n">
        <x:f>SUMIFS('Строки сметы'!$J$9:$J$267,'Строки сметы'!$A$9:$A$267,$A157)</x:f>
        <x:v>2</x:v>
      </x:c>
      <x:c r="I157" s="8" t="str">
        <x:f>IF(H157=0,"Цена есть",IF(G157&gt;0,"Частично покрыто","Нужно найти"))</x:f>
        <x:v>Нужно найти</x:v>
      </x:c>
      <x:c r="J157" s="8" t="str">
        <x:v>Найти сопоставимую цену</x:v>
      </x:c>
      <x:c r="K157" s="8" t="str"/>
      <x:c r="L157" s="8" t="str">
        <x:v>Электролаборатории и специалисты по измерению оптики</x:v>
      </x:c>
    </x:row>
    <x:row r="158" ht="39" customHeight="1">
      <x:c r="A158" s="13" t="str">
        <x:v>N150</x:v>
      </x:c>
      <x:c r="B158" s="13" t="str">
        <x:v>Измерения и испытания</x:v>
      </x:c>
      <x:c r="C158" s="13" t="str">
        <x:v>Определение удельного сопротивления грунта</x:v>
      </x:c>
      <x:c r="D158" s="13" t="str">
        <x:v>измерение</x:v>
      </x:c>
      <x:c r="E158" s="15" t="n">
        <x:f>SUMIFS('Строки сметы'!$H$9:$H$267,'Строки сметы'!$A$9:$A$267,$A158)</x:f>
        <x:v>12</x:v>
      </x:c>
      <x:c r="F158" s="14" t="n">
        <x:f>COUNTIFS('Строки сметы'!$A$9:$A$267,$A158)</x:f>
        <x:v>2</x:v>
      </x:c>
      <x:c r="G158" s="14" t="n">
        <x:f>SUMIFS('Строки сметы'!$K$9:$K$267,'Строки сметы'!$A$9:$A$267,$A158)</x:f>
        <x:v>0</x:v>
      </x:c>
      <x:c r="H158" s="14" t="n">
        <x:f>SUMIFS('Строки сметы'!$J$9:$J$267,'Строки сметы'!$A$9:$A$267,$A158)</x:f>
        <x:v>2</x:v>
      </x:c>
      <x:c r="I158" s="13" t="str">
        <x:f>IF(H158=0,"Цена есть",IF(G158&gt;0,"Частично покрыто","Нужно найти"))</x:f>
        <x:v>Нужно найти</x:v>
      </x:c>
      <x:c r="J158" s="13" t="str">
        <x:v>Найти сопоставимую цену</x:v>
      </x:c>
      <x:c r="K158" s="13" t="str"/>
      <x:c r="L158" s="13" t="str">
        <x:v>Электролаборатории и специалисты по измерению оптики</x:v>
      </x:c>
    </x:row>
    <x:row r="159" ht="54" customHeight="1">
      <x:c r="A159" s="8" t="str">
        <x:v>N151</x:v>
      </x:c>
      <x:c r="B159" s="8" t="str">
        <x:v>Измерения и испытания</x:v>
      </x:c>
      <x:c r="C159" s="8" t="str">
        <x:v>Измерение на кабельной площадке затухания зонового волоконно- оптического кабеля с числом волокон: 4</x:v>
      </x:c>
      <x:c r="D159" s="8" t="str">
        <x:v>участок</x:v>
      </x:c>
      <x:c r="E159" s="11" t="n">
        <x:f>SUMIFS('Строки сметы'!$H$9:$H$267,'Строки сметы'!$A$9:$A$267,$A159)</x:f>
        <x:v>12</x:v>
      </x:c>
      <x:c r="F159" s="10" t="n">
        <x:f>COUNTIFS('Строки сметы'!$A$9:$A$267,$A159)</x:f>
        <x:v>1</x:v>
      </x:c>
      <x:c r="G159" s="10" t="n">
        <x:f>SUMIFS('Строки сметы'!$K$9:$K$267,'Строки сметы'!$A$9:$A$267,$A159)</x:f>
        <x:v>0</x:v>
      </x:c>
      <x:c r="H159" s="10" t="n">
        <x:f>SUMIFS('Строки сметы'!$J$9:$J$267,'Строки сметы'!$A$9:$A$267,$A159)</x:f>
        <x:v>1</x:v>
      </x:c>
      <x:c r="I159" s="8" t="str">
        <x:f>IF(H159=0,"Цена есть",IF(G159&gt;0,"Частично покрыто","Нужно найти"))</x:f>
        <x:v>Нужно найти</x:v>
      </x:c>
      <x:c r="J159" s="8" t="str">
        <x:v>Найти цену работы с расходниками. Работа со вспомогательными расходниками</x:v>
      </x:c>
      <x:c r="K159" s="8" t="str"/>
      <x:c r="L159" s="8" t="str">
        <x:v>Электролаборатории и специалисты по измерению оптики</x:v>
      </x:c>
    </x:row>
    <x:row r="160" ht="54" customHeight="1">
      <x:c r="A160" s="13" t="str">
        <x:v>N152</x:v>
      </x:c>
      <x:c r="B160" s="13" t="str">
        <x:v>Измерения и испытания</x:v>
      </x:c>
      <x:c r="C160" s="13" t="str">
        <x:v>Измерение на смонтированном участке волоконно-оптического кабеля в одном направлении на двух длинах волн с числом волокон: 4</x:v>
      </x:c>
      <x:c r="D160" s="13" t="str">
        <x:v>участок</x:v>
      </x:c>
      <x:c r="E160" s="15" t="n">
        <x:f>SUMIFS('Строки сметы'!$H$9:$H$267,'Строки сметы'!$A$9:$A$267,$A160)</x:f>
        <x:v>12</x:v>
      </x:c>
      <x:c r="F160" s="14" t="n">
        <x:f>COUNTIFS('Строки сметы'!$A$9:$A$267,$A160)</x:f>
        <x:v>1</x:v>
      </x:c>
      <x:c r="G160" s="14" t="n">
        <x:f>SUMIFS('Строки сметы'!$K$9:$K$267,'Строки сметы'!$A$9:$A$267,$A160)</x:f>
        <x:v>0</x:v>
      </x:c>
      <x:c r="H160" s="14" t="n">
        <x:f>SUMIFS('Строки сметы'!$J$9:$J$267,'Строки сметы'!$A$9:$A$267,$A160)</x:f>
        <x:v>1</x:v>
      </x:c>
      <x:c r="I160" s="13" t="str">
        <x:f>IF(H160=0,"Цена есть",IF(G160&gt;0,"Частично покрыто","Нужно найти"))</x:f>
        <x:v>Нужно найти</x:v>
      </x:c>
      <x:c r="J160" s="13" t="str">
        <x:v>Найти цену работы с расходниками. Работа со вспомогательными расходниками</x:v>
      </x:c>
      <x:c r="K160" s="13" t="str"/>
      <x:c r="L160" s="13" t="str">
        <x:v>Электролаборатории и специалисты по измерению оптики</x:v>
      </x:c>
    </x:row>
  </x:sheetData>
  <x:conditionalFormatting sqref="H9:H160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be98779b1248f4"/>
  </x:tableParts>
</x:worksheet>
</file>

<file path=xl/worksheets/sheet3.xml><?xml version="1.0" encoding="utf-8"?>
<x:worksheet xmlns:x="http://schemas.openxmlformats.org/spreadsheetml/2006/main">
  <x:sheetPr>
    <x:tabColor rgb="FF243D59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0" hidden="0" customWidth="1"/>
    <x:col min="2" max="2" width="26" hidden="0" customWidth="1"/>
    <x:col min="3" max="3" width="12" hidden="0" customWidth="1"/>
    <x:col min="4" max="4" width="68" hidden="0" customWidth="1"/>
    <x:col min="5" max="5" width="12" hidden="0" customWidth="1"/>
    <x:col min="6" max="6" width="15" hidden="0" customWidth="1"/>
    <x:col min="7" max="7" width="11" hidden="0" customWidth="1"/>
    <x:col min="8" max="8" width="15" hidden="0" customWidth="1"/>
    <x:col min="9" max="9" width="20" hidden="0" customWidth="1"/>
    <x:col min="10" max="10" width="12" hidden="0" customWidth="1"/>
    <x:col min="11" max="11" width="13" hidden="0" customWidth="1"/>
    <x:col min="12" max="12" width="12" hidden="0" customWidth="1"/>
    <x:col min="13" max="13" width="27" hidden="0" customWidth="1"/>
    <x:col min="14" max="14" width="42" hidden="0" customWidth="1"/>
    <x:col min="15" max="15" width="12" hidden="0" customWidth="1"/>
    <x:col min="16" max="16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7" customHeight="1">
      <x:c r="A2" s="3" t="str">
        <x:v>Исходные строки «Волги»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 t="str">
        <x:v>Источник: 5 смет тендера 0171200001926000664; снимок 21.09.2026, 14:32 Екатеринбург.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 t="str">
        <x:v>Объёмы сохранены как в смете. Ресурсы уже входят в родительскую работу.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A6" s="2" t="str">
        <x:v>«Не искать отдельно» включает 40 вспомогательных ресурсов, 5 поправок и 1 вычет.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34" customHeight="1">
      <x:c r="A8" s="7" t="str">
        <x:v>ID</x:v>
      </x:c>
      <x:c r="B8" s="7" t="str">
        <x:v>Категория</x:v>
      </x:c>
      <x:c r="C8" s="7" t="str">
        <x:v>№ строки</x:v>
      </x:c>
      <x:c r="D8" s="7" t="str">
        <x:v>Наименование из сметы</x:v>
      </x:c>
      <x:c r="E8" s="7" t="str">
        <x:v>Ед. сметы</x:v>
      </x:c>
      <x:c r="F8" s="7" t="str">
        <x:v>Кол-во сметы</x:v>
      </x:c>
      <x:c r="G8" s="7" t="str">
        <x:v>Множитель</x:v>
      </x:c>
      <x:c r="H8" s="7" t="str">
        <x:v>Физ. объём</x:v>
      </x:c>
      <x:c r="I8" s="7" t="str">
        <x:v>Состояние цены</x:v>
      </x:c>
      <x:c r="J8" s="7" t="str">
        <x:v>Искать, 1/0</x:v>
      </x:c>
      <x:c r="K8" s="7" t="str">
        <x:v>Цена есть, 1/0</x:v>
      </x:c>
      <x:c r="L8" s="7" t="str">
        <x:v>Нужна цена, 1/0</x:v>
      </x:c>
      <x:c r="M8" s="7" t="str">
        <x:v>Вид строки</x:v>
      </x:c>
      <x:c r="N8" s="7" t="str">
        <x:v>Файл сметы</x:v>
      </x:c>
      <x:c r="O8" s="7" t="str">
        <x:v>Физ. ед.</x:v>
      </x:c>
      <x:c r="P8" s="7" t="str">
        <x:v>Раздел</x:v>
      </x:c>
    </x:row>
    <x:row r="9" ht="54" customHeight="1">
      <x:c r="A9" s="8" t="str">
        <x:v>N093</x:v>
      </x:c>
      <x:c r="B9" s="8" t="str">
        <x:v>Земляные работы</x:v>
      </x:c>
      <x:c r="C9" s="8" t="str">
        <x:v>1</x:v>
      </x:c>
      <x:c r="D9" s="8" t="str">
        <x:v>Разработка грунта с погрузкой на автомобили-самосвалы в траншеях экскаватором «обратная лопата» с ковшом вместимостью 0,5 (0,5-0,63) м3, группа грунтов: 2</x:v>
      </x:c>
      <x:c r="E9" s="8" t="str">
        <x:v>1000 м3</x:v>
      </x:c>
      <x:c r="F9" s="11" t="n">
        <x:v>2.08074</x:v>
      </x:c>
      <x:c r="G9" s="12" t="n">
        <x:v>1000</x:v>
      </x:c>
      <x:c r="H9" s="11" t="n">
        <x:f>F9*G9</x:f>
        <x:v>2080.7400000000002</x:v>
      </x:c>
      <x:c r="I9" s="8" t="str">
        <x:v>Кандидаты</x:v>
      </x:c>
      <x:c r="J9" s="10" t="n">
        <x:v>1</x:v>
      </x:c>
      <x:c r="K9" s="10" t="n">
        <x:v>0</x:v>
      </x:c>
      <x:c r="L9" s="10" t="n">
        <x:v>1</x:v>
      </x:c>
      <x:c r="M9" s="8" t="str">
        <x:v>Основная строка</x:v>
      </x:c>
      <x:c r="N9" s="8" t="str">
        <x:v>1 - бл-во осн территрии - ЛСР.pdf</x:v>
      </x:c>
      <x:c r="O9" s="8" t="str">
        <x:v>м³</x:v>
      </x:c>
      <x:c r="P9" s="8" t="str">
        <x:v>Раздел 1. Разработка грунта под конструктивные слои</x:v>
      </x:c>
    </x:row>
    <x:row r="10" ht="69" customHeight="1">
      <x:c r="A10" s="13" t="str">
        <x:v>N096</x:v>
      </x:c>
      <x:c r="B10" s="13" t="str">
        <x:v>Погрузка и перевозка</x:v>
      </x:c>
      <x:c r="C10" s="13" t="str">
        <x:v>2</x:v>
      </x:c>
      <x:c r="D10" s="13" t="str">
        <x:v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x:v>
      </x:c>
      <x:c r="E10" s="13" t="str">
        <x:v>1т груза</x:v>
      </x:c>
      <x:c r="F10" s="15" t="n">
        <x:v>2913.04</x:v>
      </x:c>
      <x:c r="G10" s="16" t="n">
        <x:v>1</x:v>
      </x:c>
      <x:c r="H10" s="15" t="n">
        <x:f>F10*G10</x:f>
        <x:v>2913.04</x:v>
      </x:c>
      <x:c r="I10" s="13" t="str">
        <x:v>Кандидаты</x:v>
      </x:c>
      <x:c r="J10" s="14" t="n">
        <x:v>1</x:v>
      </x:c>
      <x:c r="K10" s="14" t="n">
        <x:v>0</x:v>
      </x:c>
      <x:c r="L10" s="14" t="n">
        <x:v>1</x:v>
      </x:c>
      <x:c r="M10" s="13" t="str">
        <x:v>Основная строка</x:v>
      </x:c>
      <x:c r="N10" s="13" t="str">
        <x:v>1 - бл-во осн территрии - ЛСР.pdf</x:v>
      </x:c>
      <x:c r="O10" s="13" t="str">
        <x:v>т груза</x:v>
      </x:c>
      <x:c r="P10" s="13" t="str">
        <x:v>Раздел 1. Разработка грунта под конструктивные слои</x:v>
      </x:c>
    </x:row>
    <x:row r="11" ht="39" customHeight="1">
      <x:c r="A11" s="8" t="str">
        <x:v>N091</x:v>
      </x:c>
      <x:c r="B11" s="8" t="str">
        <x:v>Земляные работы</x:v>
      </x:c>
      <x:c r="C11" s="8" t="str">
        <x:v>3</x:v>
      </x:c>
      <x:c r="D11" s="8" t="str">
        <x:v>Планировка площадей: ручным способом, группа грунтов 2 - щебень</x:v>
      </x:c>
      <x:c r="E11" s="8" t="str">
        <x:v>1000 м2</x:v>
      </x:c>
      <x:c r="F11" s="11" t="n">
        <x:v>0.4592</x:v>
      </x:c>
      <x:c r="G11" s="12" t="n">
        <x:v>1000</x:v>
      </x:c>
      <x:c r="H11" s="11" t="n">
        <x:f>F11*G11</x:f>
        <x:v>459.2</x:v>
      </x:c>
      <x:c r="I11" s="8" t="str">
        <x:v>Кандидаты</x:v>
      </x:c>
      <x:c r="J11" s="10" t="n">
        <x:v>1</x:v>
      </x:c>
      <x:c r="K11" s="10" t="n">
        <x:v>0</x:v>
      </x:c>
      <x:c r="L11" s="10" t="n">
        <x:v>1</x:v>
      </x:c>
      <x:c r="M11" s="8" t="str">
        <x:v>Основная строка</x:v>
      </x:c>
      <x:c r="N11" s="8" t="str">
        <x:v>1 - бл-во осн территрии - ЛСР.pdf</x:v>
      </x:c>
      <x:c r="O11" s="8" t="str">
        <x:v>м²</x:v>
      </x:c>
      <x:c r="P11" s="8" t="str">
        <x:v>Раздел 2. Установка бортовых камней</x:v>
      </x:c>
    </x:row>
    <x:row r="12" ht="39" customHeight="1">
      <x:c r="A12" s="13" t="str">
        <x:v>N084</x:v>
      </x:c>
      <x:c r="B12" s="13" t="str">
        <x:v>Земляные работы</x:v>
      </x:c>
      <x:c r="C12" s="13" t="str">
        <x:v>4</x:v>
      </x:c>
      <x:c r="D12" s="13" t="str">
        <x:v>Уплотнение грунта пневматическими трамбовками, группа грунтов: 1-2</x:v>
      </x:c>
      <x:c r="E12" s="13" t="str">
        <x:v>100 м3</x:v>
      </x:c>
      <x:c r="F12" s="15" t="n">
        <x:v>0.4592</x:v>
      </x:c>
      <x:c r="G12" s="16" t="n">
        <x:v>100</x:v>
      </x:c>
      <x:c r="H12" s="15" t="n">
        <x:f>F12*G12</x:f>
        <x:v>45.92</x:v>
      </x:c>
      <x:c r="I12" s="13" t="str">
        <x:v>Кандидаты</x:v>
      </x:c>
      <x:c r="J12" s="14" t="n">
        <x:v>1</x:v>
      </x:c>
      <x:c r="K12" s="14" t="n">
        <x:v>0</x:v>
      </x:c>
      <x:c r="L12" s="14" t="n">
        <x:v>1</x:v>
      </x:c>
      <x:c r="M12" s="13" t="str">
        <x:v>Основная строка</x:v>
      </x:c>
      <x:c r="N12" s="13" t="str">
        <x:v>1 - бл-во осн территрии - ЛСР.pdf</x:v>
      </x:c>
      <x:c r="O12" s="13" t="str">
        <x:v>м³</x:v>
      </x:c>
      <x:c r="P12" s="13" t="str">
        <x:v>Раздел 2. Установка бортовых камней</x:v>
      </x:c>
    </x:row>
    <x:row r="13" ht="39" customHeight="1">
      <x:c r="A13" s="8" t="str">
        <x:v>N002</x:v>
      </x:c>
      <x:c r="B13" s="8" t="str">
        <x:v>Сыпучие материалы и грунт</x:v>
      </x:c>
      <x:c r="C13" s="8" t="str">
        <x:v>5</x:v>
      </x:c>
      <x:c r="D13" s="8" t="str">
        <x:v>Щебень из плотных горных пород для строительных работ М 1200, фракция 20-40 мм</x:v>
      </x:c>
      <x:c r="E13" s="8" t="str">
        <x:v>м3</x:v>
      </x:c>
      <x:c r="F13" s="11" t="n">
        <x:v>57.859</x:v>
      </x:c>
      <x:c r="G13" s="12" t="n">
        <x:v>1</x:v>
      </x:c>
      <x:c r="H13" s="11" t="n">
        <x:f>F13*G13</x:f>
        <x:v>57.859</x:v>
      </x:c>
      <x:c r="I13" s="8" t="str">
        <x:v>Кандидаты</x:v>
      </x:c>
      <x:c r="J13" s="10" t="n">
        <x:v>1</x:v>
      </x:c>
      <x:c r="K13" s="10" t="n">
        <x:v>0</x:v>
      </x:c>
      <x:c r="L13" s="10" t="n">
        <x:v>1</x:v>
      </x:c>
      <x:c r="M13" s="8" t="str">
        <x:v>Основная строка</x:v>
      </x:c>
      <x:c r="N13" s="8" t="str">
        <x:v>1 - бл-во осн территрии - ЛСР.pdf</x:v>
      </x:c>
      <x:c r="O13" s="8" t="str">
        <x:v>м³</x:v>
      </x:c>
      <x:c r="P13" s="8" t="str">
        <x:v>Раздел 2. Установка бортовых камней</x:v>
      </x:c>
    </x:row>
    <x:row r="14" ht="39" customHeight="1">
      <x:c r="A14" s="13" t="str">
        <x:v>N110</x:v>
      </x:c>
      <x:c r="B14" s="13" t="str">
        <x:v>Мощение, бордюры и разметка</x:v>
      </x:c>
      <x:c r="C14" s="13" t="str">
        <x:v>6</x:v>
      </x:c>
      <x:c r="D14" s="13" t="str">
        <x:v>Установка бортовых камней бетонных: при других видах покрытий</x:v>
      </x:c>
      <x:c r="E14" s="13" t="str">
        <x:v>100 м</x:v>
      </x:c>
      <x:c r="F14" s="15" t="n">
        <x:v>7.55</x:v>
      </x:c>
      <x:c r="G14" s="16" t="n">
        <x:v>100</x:v>
      </x:c>
      <x:c r="H14" s="15" t="n">
        <x:f>F14*G14</x:f>
        <x:v>755</x:v>
      </x:c>
      <x:c r="I14" s="13" t="str">
        <x:v>Кандидаты</x:v>
      </x:c>
      <x:c r="J14" s="14" t="n">
        <x:v>1</x:v>
      </x:c>
      <x:c r="K14" s="14" t="n">
        <x:v>0</x:v>
      </x:c>
      <x:c r="L14" s="14" t="n">
        <x:v>1</x:v>
      </x:c>
      <x:c r="M14" s="13" t="str">
        <x:v>Работа с вложенными ресурсами</x:v>
      </x:c>
      <x:c r="N14" s="13" t="str">
        <x:v>1 - бл-во осн территрии - ЛСР.pdf</x:v>
      </x:c>
      <x:c r="O14" s="13" t="str">
        <x:v>м</x:v>
      </x:c>
      <x:c r="P14" s="13" t="str">
        <x:v>Раздел 2. Установка бортовых камней</x:v>
      </x:c>
    </x:row>
    <x:row r="15" ht="39" customHeight="1">
      <x:c r="A15" s="8" t="str">
        <x:v>N005</x:v>
      </x:c>
      <x:c r="B15" s="8" t="str">
        <x:v>Бетон и сухие смеси</x:v>
      </x:c>
      <x:c r="C15" s="8" t="str">
        <x:v>6.1</x:v>
      </x:c>
      <x:c r="D15" s="8" t="str">
        <x:v>Смеси бетонные тяжелого бетона (БСТ) на щебне из гравия, класс В15, F(1)100, W4</x:v>
      </x:c>
      <x:c r="E15" s="8" t="str">
        <x:v>м3</x:v>
      </x:c>
      <x:c r="F15" s="11" t="n">
        <x:v>38.3087</x:v>
      </x:c>
      <x:c r="G15" s="12" t="n">
        <x:v>1</x:v>
      </x:c>
      <x:c r="H15" s="11" t="n">
        <x:f>F15*G15</x:f>
        <x:v>38.3087</x:v>
      </x:c>
      <x:c r="I15" s="8" t="str">
        <x:v>Кандидаты</x:v>
      </x:c>
      <x:c r="J15" s="10" t="n">
        <x:v>1</x:v>
      </x:c>
      <x:c r="K15" s="10" t="n">
        <x:v>0</x:v>
      </x:c>
      <x:c r="L15" s="10" t="n">
        <x:v>1</x:v>
      </x:c>
      <x:c r="M15" s="8" t="str">
        <x:v>Ресурс родительской работы</x:v>
      </x:c>
      <x:c r="N15" s="8" t="str">
        <x:v>1 - бл-во осн территрии - ЛСР.pdf</x:v>
      </x:c>
      <x:c r="O15" s="8" t="str">
        <x:v>м³</x:v>
      </x:c>
      <x:c r="P15" s="8" t="str">
        <x:v>Раздел 2. Установка бортовых камней</x:v>
      </x:c>
    </x:row>
    <x:row r="16" ht="39" customHeight="1">
      <x:c r="A16" s="13" t="str">
        <x:v>N009</x:v>
      </x:c>
      <x:c r="B16" s="13" t="str">
        <x:v>Плитка и бордюры</x:v>
      </x:c>
      <x:c r="C16" s="13" t="str">
        <x:v>7</x:v>
      </x:c>
      <x:c r="D16" s="13" t="str">
        <x:v>Бордюрный камень 100.20.8 Тиманфайа, б/ц, ч/п</x:v>
      </x:c>
      <x:c r="E16" s="13" t="str">
        <x:v>пм</x:v>
      </x:c>
      <x:c r="F16" s="15" t="n">
        <x:v>755</x:v>
      </x:c>
      <x:c r="G16" s="16" t="n">
        <x:v>1</x:v>
      </x:c>
      <x:c r="H16" s="15" t="n">
        <x:f>F16*G16</x:f>
        <x:v>755</x:v>
      </x:c>
      <x:c r="I16" s="13" t="str">
        <x:v>Кандидаты</x:v>
      </x:c>
      <x:c r="J16" s="14" t="n">
        <x:v>1</x:v>
      </x:c>
      <x:c r="K16" s="14" t="n">
        <x:v>0</x:v>
      </x:c>
      <x:c r="L16" s="14" t="n">
        <x:v>1</x:v>
      </x:c>
      <x:c r="M16" s="13" t="str">
        <x:v>Основная строка</x:v>
      </x:c>
      <x:c r="N16" s="13" t="str">
        <x:v>1 - бл-во осн территрии - ЛСР.pdf</x:v>
      </x:c>
      <x:c r="O16" s="13" t="str">
        <x:v>м</x:v>
      </x:c>
      <x:c r="P16" s="13" t="str">
        <x:v>Раздел 2. Установка бортовых камней</x:v>
      </x:c>
    </x:row>
    <x:row r="17" ht="39" customHeight="1">
      <x:c r="A17" s="8" t="str">
        <x:v>N111</x:v>
      </x:c>
      <x:c r="B17" s="8" t="str">
        <x:v>Мощение, бордюры и разметка</x:v>
      </x:c>
      <x:c r="C17" s="8" t="str">
        <x:v>8</x:v>
      </x:c>
      <x:c r="D17" s="8" t="str">
        <x:v>Установка бортовых камней бетонных: при других видах покрытий</x:v>
      </x:c>
      <x:c r="E17" s="8" t="str">
        <x:v>100 м</x:v>
      </x:c>
      <x:c r="F17" s="11" t="n">
        <x:v>8.85</x:v>
      </x:c>
      <x:c r="G17" s="12" t="n">
        <x:v>100</x:v>
      </x:c>
      <x:c r="H17" s="11" t="n">
        <x:f>F17*G17</x:f>
        <x:v>885</x:v>
      </x:c>
      <x:c r="I17" s="8" t="str">
        <x:v>Кандидаты</x:v>
      </x:c>
      <x:c r="J17" s="10" t="n">
        <x:v>1</x:v>
      </x:c>
      <x:c r="K17" s="10" t="n">
        <x:v>0</x:v>
      </x:c>
      <x:c r="L17" s="10" t="n">
        <x:v>1</x:v>
      </x:c>
      <x:c r="M17" s="8" t="str">
        <x:v>Работа с вложенными ресурсами</x:v>
      </x:c>
      <x:c r="N17" s="8" t="str">
        <x:v>1 - бл-во осн территрии - ЛСР.pdf</x:v>
      </x:c>
      <x:c r="O17" s="8" t="str">
        <x:v>м</x:v>
      </x:c>
      <x:c r="P17" s="8" t="str">
        <x:v>Раздел 2. Установка бортовых камней</x:v>
      </x:c>
    </x:row>
    <x:row r="18" ht="39" customHeight="1">
      <x:c r="A18" s="13" t="str">
        <x:v>N005</x:v>
      </x:c>
      <x:c r="B18" s="13" t="str">
        <x:v>Бетон и сухие смеси</x:v>
      </x:c>
      <x:c r="C18" s="13" t="str">
        <x:v>8.1</x:v>
      </x:c>
      <x:c r="D18" s="13" t="str">
        <x:v>Смеси бетонные тяжелого бетона (БСТ) на щебне из гравия, класс В15, F(1)100, W4</x:v>
      </x:c>
      <x:c r="E18" s="13" t="str">
        <x:v>м3</x:v>
      </x:c>
      <x:c r="F18" s="15" t="n">
        <x:v>44.9049</x:v>
      </x:c>
      <x:c r="G18" s="16" t="n">
        <x:v>1</x:v>
      </x:c>
      <x:c r="H18" s="15" t="n">
        <x:f>F18*G18</x:f>
        <x:v>44.9049</x:v>
      </x:c>
      <x:c r="I18" s="13" t="str">
        <x:v>Кандидаты</x:v>
      </x:c>
      <x:c r="J18" s="14" t="n">
        <x:v>1</x:v>
      </x:c>
      <x:c r="K18" s="14" t="n">
        <x:v>0</x:v>
      </x:c>
      <x:c r="L18" s="14" t="n">
        <x:v>1</x:v>
      </x:c>
      <x:c r="M18" s="13" t="str">
        <x:v>Ресурс родительской работы</x:v>
      </x:c>
      <x:c r="N18" s="13" t="str">
        <x:v>1 - бл-во осн территрии - ЛСР.pdf</x:v>
      </x:c>
      <x:c r="O18" s="13" t="str">
        <x:v>м³</x:v>
      </x:c>
      <x:c r="P18" s="13" t="str">
        <x:v>Раздел 2. Установка бортовых камней</x:v>
      </x:c>
    </x:row>
    <x:row r="19" ht="39" customHeight="1">
      <x:c r="A19" s="8" t="str">
        <x:v>N010</x:v>
      </x:c>
      <x:c r="B19" s="8" t="str">
        <x:v>Плитка и бордюры</x:v>
      </x:c>
      <x:c r="C19" s="8" t="str">
        <x:v>8.2</x:v>
      </x:c>
      <x:c r="D19" s="8" t="str">
        <x:v>Камни бортовые бетонные марки БР, БВ, бетон В22,5 (М300)</x:v>
      </x:c>
      <x:c r="E19" s="8" t="str">
        <x:v>м3</x:v>
      </x:c>
      <x:c r="F19" s="11" t="n">
        <x:v>14.16</x:v>
      </x:c>
      <x:c r="G19" s="12" t="n">
        <x:v>1</x:v>
      </x:c>
      <x:c r="H19" s="11" t="n">
        <x:f>F19*G19</x:f>
        <x:v>14.16</x:v>
      </x:c>
      <x:c r="I19" s="8" t="str">
        <x:v>Кандидаты</x:v>
      </x:c>
      <x:c r="J19" s="10" t="n">
        <x:v>1</x:v>
      </x:c>
      <x:c r="K19" s="10" t="n">
        <x:v>0</x:v>
      </x:c>
      <x:c r="L19" s="10" t="n">
        <x:v>1</x:v>
      </x:c>
      <x:c r="M19" s="8" t="str">
        <x:v>Ресурс родительской работы</x:v>
      </x:c>
      <x:c r="N19" s="8" t="str">
        <x:v>1 - бл-во осн территрии - ЛСР.pdf</x:v>
      </x:c>
      <x:c r="O19" s="8" t="str">
        <x:v>м³</x:v>
      </x:c>
      <x:c r="P19" s="8" t="str">
        <x:v>Раздел 2. Установка бортовых камней</x:v>
      </x:c>
    </x:row>
    <x:row r="20" ht="39" customHeight="1">
      <x:c r="A20" s="13" t="str">
        <x:v>N100</x:v>
      </x:c>
      <x:c r="B20" s="13" t="str">
        <x:v>Основания, бетон и геоматериалы</x:v>
      </x:c>
      <x:c r="C20" s="13" t="str">
        <x:v>9</x:v>
      </x:c>
      <x:c r="D20" s="13" t="str">
        <x:v>Устройство подстилающих и выравнивающих слоев оснований: из песка</x:v>
      </x:c>
      <x:c r="E20" s="13" t="str">
        <x:v>100 м3</x:v>
      </x:c>
      <x:c r="F20" s="15" t="n">
        <x:v>8.4727</x:v>
      </x:c>
      <x:c r="G20" s="16" t="n">
        <x:v>100</x:v>
      </x:c>
      <x:c r="H20" s="15" t="n">
        <x:f>F20*G20</x:f>
        <x:v>847.27</x:v>
      </x:c>
      <x:c r="I20" s="13" t="str">
        <x:v>Кандидаты</x:v>
      </x:c>
      <x:c r="J20" s="14" t="n">
        <x:v>1</x:v>
      </x:c>
      <x:c r="K20" s="14" t="n">
        <x:v>0</x:v>
      </x:c>
      <x:c r="L20" s="14" t="n">
        <x:v>1</x:v>
      </x:c>
      <x:c r="M20" s="13" t="str">
        <x:v>Работа с вложенными ресурсами</x:v>
      </x:c>
      <x:c r="N20" s="13" t="str">
        <x:v>1 - бл-во осн территрии - ЛСР.pdf</x:v>
      </x:c>
      <x:c r="O20" s="13" t="str">
        <x:v>м³</x:v>
      </x:c>
      <x:c r="P20" s="13" t="str">
        <x:v>Раздел 3. Устройство плиточного покрытия</x:v>
      </x:c>
    </x:row>
    <x:row r="21" ht="39" customHeight="1">
      <x:c r="A21" s="8" t="str">
        <x:v>N001</x:v>
      </x:c>
      <x:c r="B21" s="8" t="str">
        <x:v>Сыпучие материалы и грунт</x:v>
      </x:c>
      <x:c r="C21" s="8" t="str">
        <x:v>9.1</x:v>
      </x:c>
      <x:c r="D21" s="8" t="str">
        <x:v>Песок природный для строительных работ I класс, мелкий</x:v>
      </x:c>
      <x:c r="E21" s="8" t="str">
        <x:v>м3</x:v>
      </x:c>
      <x:c r="F21" s="11" t="n">
        <x:v>931.997</x:v>
      </x:c>
      <x:c r="G21" s="12" t="n">
        <x:v>1</x:v>
      </x:c>
      <x:c r="H21" s="11" t="n">
        <x:f>F21*G21</x:f>
        <x:v>931.997</x:v>
      </x:c>
      <x:c r="I21" s="8" t="str">
        <x:v>Кандидаты</x:v>
      </x:c>
      <x:c r="J21" s="10" t="n">
        <x:v>1</x:v>
      </x:c>
      <x:c r="K21" s="10" t="n">
        <x:v>0</x:v>
      </x:c>
      <x:c r="L21" s="10" t="n">
        <x:v>1</x:v>
      </x:c>
      <x:c r="M21" s="8" t="str">
        <x:v>Ресурс родительской работы</x:v>
      </x:c>
      <x:c r="N21" s="8" t="str">
        <x:v>1 - бл-во осн территрии - ЛСР.pdf</x:v>
      </x:c>
      <x:c r="O21" s="8" t="str">
        <x:v>м³</x:v>
      </x:c>
      <x:c r="P21" s="8" t="str">
        <x:v>Раздел 3. Устройство плиточного покрытия</x:v>
      </x:c>
    </x:row>
    <x:row r="22" ht="39" customHeight="1">
      <x:c r="A22" s="13" t="str">
        <x:v>N098</x:v>
      </x:c>
      <x:c r="B22" s="13" t="str">
        <x:v>Основания, бетон и геоматериалы</x:v>
      </x:c>
      <x:c r="C22" s="13" t="str">
        <x:v>10</x:v>
      </x:c>
      <x:c r="D22" s="13" t="str">
        <x:v>Устройство прослойки из нетканого синтетического материала (НСМ) в земляном полотне: сплошной</x:v>
      </x:c>
      <x:c r="E22" s="13" t="str">
        <x:v>1000 м2</x:v>
      </x:c>
      <x:c r="F22" s="15" t="n">
        <x:v>5.64849</x:v>
      </x:c>
      <x:c r="G22" s="16" t="n">
        <x:v>1000</x:v>
      </x:c>
      <x:c r="H22" s="15" t="n">
        <x:f>F22*G22</x:f>
        <x:v>5648.49</x:v>
      </x:c>
      <x:c r="I22" s="13" t="str">
        <x:v>Кандидаты</x:v>
      </x:c>
      <x:c r="J22" s="14" t="n">
        <x:v>1</x:v>
      </x:c>
      <x:c r="K22" s="14" t="n">
        <x:v>0</x:v>
      </x:c>
      <x:c r="L22" s="14" t="n">
        <x:v>1</x:v>
      </x:c>
      <x:c r="M22" s="13" t="str">
        <x:v>Работа с вложенными ресурсами</x:v>
      </x:c>
      <x:c r="N22" s="13" t="str">
        <x:v>1 - бл-во осн территрии - ЛСР.pdf</x:v>
      </x:c>
      <x:c r="O22" s="13" t="str">
        <x:v>м²</x:v>
      </x:c>
      <x:c r="P22" s="13" t="str">
        <x:v>Раздел 3. Устройство плиточного покрытия</x:v>
      </x:c>
    </x:row>
    <x:row r="23" ht="39" customHeight="1">
      <x:c r="A23" s="8" t="str">
        <x:v>N019</x:v>
      </x:c>
      <x:c r="B23" s="8" t="str">
        <x:v>Геоматериалы и газонные семена</x:v>
      </x:c>
      <x:c r="C23" s="8" t="str">
        <x:v>10.1</x:v>
      </x:c>
      <x:c r="D23" s="8" t="str">
        <x:v>Геополотно нетканое полиэфирное, иглопробивное, поверхностная плотность 200 г/м2</x:v>
      </x:c>
      <x:c r="E23" s="8" t="str">
        <x:v>м2</x:v>
      </x:c>
      <x:c r="F23" s="11" t="n">
        <x:v>6213.339</x:v>
      </x:c>
      <x:c r="G23" s="12" t="n">
        <x:v>1</x:v>
      </x:c>
      <x:c r="H23" s="11" t="n">
        <x:f>F23*G23</x:f>
        <x:v>6213.339</x:v>
      </x:c>
      <x:c r="I23" s="8" t="str">
        <x:v>Цена есть</x:v>
      </x:c>
      <x:c r="J23" s="10" t="n">
        <x:v>0</x:v>
      </x:c>
      <x:c r="K23" s="10" t="n">
        <x:v>1</x:v>
      </x:c>
      <x:c r="L23" s="10" t="n">
        <x:v>1</x:v>
      </x:c>
      <x:c r="M23" s="8" t="str">
        <x:v>Ресурс родительской работы</x:v>
      </x:c>
      <x:c r="N23" s="8" t="str">
        <x:v>1 - бл-во осн территрии - ЛСР.pdf</x:v>
      </x:c>
      <x:c r="O23" s="8" t="str">
        <x:v>м²</x:v>
      </x:c>
      <x:c r="P23" s="8" t="str">
        <x:v>Раздел 3. Устройство плиточного покрытия</x:v>
      </x:c>
    </x:row>
    <x:row r="24" ht="39" customHeight="1">
      <x:c r="A24" s="13" t="str">
        <x:v>N101</x:v>
      </x:c>
      <x:c r="B24" s="13" t="str">
        <x:v>Основания, бетон и геоматериалы</x:v>
      </x:c>
      <x:c r="C24" s="13" t="str">
        <x:v>11</x:v>
      </x:c>
      <x:c r="D24" s="13" t="str">
        <x:v>Устройство подстилающих и выравнивающих слоев оснований: из щебня</x:v>
      </x:c>
      <x:c r="E24" s="13" t="str">
        <x:v>100 м3</x:v>
      </x:c>
      <x:c r="F24" s="15" t="n">
        <x:v>8.4727</x:v>
      </x:c>
      <x:c r="G24" s="16" t="n">
        <x:v>100</x:v>
      </x:c>
      <x:c r="H24" s="15" t="n">
        <x:f>F24*G24</x:f>
        <x:v>847.27</x:v>
      </x:c>
      <x:c r="I24" s="13" t="str">
        <x:v>Кандидаты</x:v>
      </x:c>
      <x:c r="J24" s="14" t="n">
        <x:v>1</x:v>
      </x:c>
      <x:c r="K24" s="14" t="n">
        <x:v>0</x:v>
      </x:c>
      <x:c r="L24" s="14" t="n">
        <x:v>1</x:v>
      </x:c>
      <x:c r="M24" s="13" t="str">
        <x:v>Работа с вложенными ресурсами</x:v>
      </x:c>
      <x:c r="N24" s="13" t="str">
        <x:v>1 - бл-во осн территрии - ЛСР.pdf</x:v>
      </x:c>
      <x:c r="O24" s="13" t="str">
        <x:v>м³</x:v>
      </x:c>
      <x:c r="P24" s="13" t="str">
        <x:v>Раздел 3. Устройство плиточного покрытия</x:v>
      </x:c>
    </x:row>
    <x:row r="25" ht="39" customHeight="1">
      <x:c r="A25" s="8" t="str">
        <x:v>N002</x:v>
      </x:c>
      <x:c r="B25" s="8" t="str">
        <x:v>Сыпучие материалы и грунт</x:v>
      </x:c>
      <x:c r="C25" s="8" t="str">
        <x:v>11.1</x:v>
      </x:c>
      <x:c r="D25" s="8" t="str">
        <x:v>Щебень из плотных горных пород для строительных работ М 1200, фракция 20-40 мм</x:v>
      </x:c>
      <x:c r="E25" s="8" t="str">
        <x:v>м3</x:v>
      </x:c>
      <x:c r="F25" s="11" t="n">
        <x:v>1067.5602</x:v>
      </x:c>
      <x:c r="G25" s="12" t="n">
        <x:v>1</x:v>
      </x:c>
      <x:c r="H25" s="11" t="n">
        <x:f>F25*G25</x:f>
        <x:v>1067.5602</x:v>
      </x:c>
      <x:c r="I25" s="8" t="str">
        <x:v>Кандидаты</x:v>
      </x:c>
      <x:c r="J25" s="10" t="n">
        <x:v>1</x:v>
      </x:c>
      <x:c r="K25" s="10" t="n">
        <x:v>0</x:v>
      </x:c>
      <x:c r="L25" s="10" t="n">
        <x:v>1</x:v>
      </x:c>
      <x:c r="M25" s="8" t="str">
        <x:v>Ресурс родительской работы</x:v>
      </x:c>
      <x:c r="N25" s="8" t="str">
        <x:v>1 - бл-во осн территрии - ЛСР.pdf</x:v>
      </x:c>
      <x:c r="O25" s="8" t="str">
        <x:v>м³</x:v>
      </x:c>
      <x:c r="P25" s="8" t="str">
        <x:v>Раздел 3. Устройство плиточного покрытия</x:v>
      </x:c>
    </x:row>
    <x:row r="26" ht="39" customHeight="1">
      <x:c r="A26" s="13" t="str">
        <x:v>N105</x:v>
      </x:c>
      <x:c r="B26" s="13" t="str">
        <x:v>Мощение, бордюры и разметка</x:v>
      </x:c>
      <x:c r="C26" s="13" t="str">
        <x:v>12</x:v>
      </x:c>
      <x:c r="D26" s="13" t="str">
        <x:v>Устройство покрытий тротуаров из бетонной плитки типа "Брусчатка": рядовым или паркетным мощением</x:v>
      </x:c>
      <x:c r="E26" s="13" t="str">
        <x:v>100 м2</x:v>
      </x:c>
      <x:c r="F26" s="15" t="n">
        <x:v>23.065</x:v>
      </x:c>
      <x:c r="G26" s="16" t="n">
        <x:v>100</x:v>
      </x:c>
      <x:c r="H26" s="15" t="n">
        <x:f>F26*G26</x:f>
        <x:v>2306.5</x:v>
      </x:c>
      <x:c r="I26" s="13" t="str">
        <x:v>Кандидаты</x:v>
      </x:c>
      <x:c r="J26" s="14" t="n">
        <x:v>1</x:v>
      </x:c>
      <x:c r="K26" s="14" t="n">
        <x:v>0</x:v>
      </x:c>
      <x:c r="L26" s="14" t="n">
        <x:v>1</x:v>
      </x:c>
      <x:c r="M26" s="13" t="str">
        <x:v>Работа с вложенными ресурсами</x:v>
      </x:c>
      <x:c r="N26" s="13" t="str">
        <x:v>1 - бл-во осн территрии - ЛСР.pdf</x:v>
      </x:c>
      <x:c r="O26" s="13" t="str">
        <x:v>м²</x:v>
      </x:c>
      <x:c r="P26" s="13" t="str">
        <x:v>Раздел 3. Устройство плиточного покрытия</x:v>
      </x:c>
    </x:row>
    <x:row r="27" ht="39" customHeight="1">
      <x:c r="A27" s="8" t="str">
        <x:v>N001</x:v>
      </x:c>
      <x:c r="B27" s="8" t="str">
        <x:v>Сыпучие материалы и грунт</x:v>
      </x:c>
      <x:c r="C27" s="8" t="str">
        <x:v>12.1</x:v>
      </x:c>
      <x:c r="D27" s="8" t="str">
        <x:v>Песок природный для строительных работ I класс, мелкий</x:v>
      </x:c>
      <x:c r="E27" s="8" t="str">
        <x:v>м3</x:v>
      </x:c>
      <x:c r="F27" s="11" t="n">
        <x:v>12.4551</x:v>
      </x:c>
      <x:c r="G27" s="12" t="n">
        <x:v>1</x:v>
      </x:c>
      <x:c r="H27" s="11" t="n">
        <x:f>F27*G27</x:f>
        <x:v>12.4551</x:v>
      </x:c>
      <x:c r="I27" s="8" t="str">
        <x:v>Кандидаты</x:v>
      </x:c>
      <x:c r="J27" s="10" t="n">
        <x:v>1</x:v>
      </x:c>
      <x:c r="K27" s="10" t="n">
        <x:v>0</x:v>
      </x:c>
      <x:c r="L27" s="10" t="n">
        <x:v>1</x:v>
      </x:c>
      <x:c r="M27" s="8" t="str">
        <x:v>Ресурс родительской работы</x:v>
      </x:c>
      <x:c r="N27" s="8" t="str">
        <x:v>1 - бл-во осн территрии - ЛСР.pdf</x:v>
      </x:c>
      <x:c r="O27" s="8" t="str">
        <x:v>м³</x:v>
      </x:c>
      <x:c r="P27" s="8" t="str">
        <x:v>Раздел 3. Устройство плиточного покрытия</x:v>
      </x:c>
    </x:row>
    <x:row r="28" ht="39" customHeight="1">
      <x:c r="A28" s="13" t="str">
        <x:v>N004</x:v>
      </x:c>
      <x:c r="B28" s="13" t="str">
        <x:v>Бетон и сухие смеси</x:v>
      </x:c>
      <x:c r="C28" s="13" t="str">
        <x:v>12.2</x:v>
      </x:c>
      <x:c r="D28" s="13" t="str">
        <x:v>Смеси сухие цементно-песчаные монтажно-кладочные, крупность заполнителя не более 3,5 мм, класс В12,5 (М150), F100</x:v>
      </x:c>
      <x:c r="E28" s="13" t="str">
        <x:v>т</x:v>
      </x:c>
      <x:c r="F28" s="15" t="n">
        <x:v>124.896975</x:v>
      </x:c>
      <x:c r="G28" s="16" t="n">
        <x:v>1</x:v>
      </x:c>
      <x:c r="H28" s="15" t="n">
        <x:f>F28*G28</x:f>
        <x:v>124.896975</x:v>
      </x:c>
      <x:c r="I28" s="13" t="str">
        <x:v>Кандидаты</x:v>
      </x:c>
      <x:c r="J28" s="14" t="n">
        <x:v>1</x:v>
      </x:c>
      <x:c r="K28" s="14" t="n">
        <x:v>0</x:v>
      </x:c>
      <x:c r="L28" s="14" t="n">
        <x:v>1</x:v>
      </x:c>
      <x:c r="M28" s="13" t="str">
        <x:v>Ресурс родительской работы</x:v>
      </x:c>
      <x:c r="N28" s="13" t="str">
        <x:v>1 - бл-во осн территрии - ЛСР.pdf</x:v>
      </x:c>
      <x:c r="O28" s="13" t="str">
        <x:v>т</x:v>
      </x:c>
      <x:c r="P28" s="13" t="str">
        <x:v>Раздел 3. Устройство плиточного покрытия</x:v>
      </x:c>
    </x:row>
    <x:row r="29" ht="39" customHeight="1">
      <x:c r="A29" s="8" t="str">
        <x:v>N008</x:v>
      </x:c>
      <x:c r="B29" s="8" t="str">
        <x:v>Плитка и бордюры</x:v>
      </x:c>
      <x:c r="C29" s="8" t="str">
        <x:v>13</x:v>
      </x:c>
      <x:c r="D29" s="8" t="str">
        <x:v>Тротуарная плитка Готика Паркет, Тиманфайа, с/ц, ч/п h=60 мм размером 300x100 мм</x:v>
      </x:c>
      <x:c r="E29" s="8" t="str">
        <x:v>м2</x:v>
      </x:c>
      <x:c r="F29" s="11" t="n">
        <x:v>2352.63</x:v>
      </x:c>
      <x:c r="G29" s="12" t="n">
        <x:v>1</x:v>
      </x:c>
      <x:c r="H29" s="11" t="n">
        <x:f>F29*G29</x:f>
        <x:v>2352.63</x:v>
      </x:c>
      <x:c r="I29" s="8" t="str">
        <x:v>Кандидаты</x:v>
      </x:c>
      <x:c r="J29" s="10" t="n">
        <x:v>1</x:v>
      </x:c>
      <x:c r="K29" s="10" t="n">
        <x:v>0</x:v>
      </x:c>
      <x:c r="L29" s="10" t="n">
        <x:v>1</x:v>
      </x:c>
      <x:c r="M29" s="8" t="str">
        <x:v>Основная строка</x:v>
      </x:c>
      <x:c r="N29" s="8" t="str">
        <x:v>1 - бл-во осн территрии - ЛСР.pdf</x:v>
      </x:c>
      <x:c r="O29" s="8" t="str">
        <x:v>м²</x:v>
      </x:c>
      <x:c r="P29" s="8" t="str">
        <x:v>Раздел 3. Устройство плиточного покрытия</x:v>
      </x:c>
    </x:row>
    <x:row r="30" ht="39" customHeight="1">
      <x:c r="A30" s="13" t="str">
        <x:v>N112</x:v>
      </x:c>
      <x:c r="B30" s="13" t="str">
        <x:v>Мощение, бордюры и разметка</x:v>
      </x:c>
      <x:c r="C30" s="13" t="str">
        <x:v>14</x:v>
      </x:c>
      <x:c r="D30" s="13" t="str">
        <x:v>Устройство покрытий тротуаров из бетонной плитки типа "Брусчатка": кольцевым мощением</x:v>
      </x:c>
      <x:c r="E30" s="13" t="str">
        <x:v>100 м2</x:v>
      </x:c>
      <x:c r="F30" s="15" t="n">
        <x:v>6.3344</x:v>
      </x:c>
      <x:c r="G30" s="16" t="n">
        <x:v>100</x:v>
      </x:c>
      <x:c r="H30" s="15" t="n">
        <x:f>F30*G30</x:f>
        <x:v>633.4399999999999</x:v>
      </x:c>
      <x:c r="I30" s="13" t="str">
        <x:v>Кандидаты</x:v>
      </x:c>
      <x:c r="J30" s="14" t="n">
        <x:v>1</x:v>
      </x:c>
      <x:c r="K30" s="14" t="n">
        <x:v>0</x:v>
      </x:c>
      <x:c r="L30" s="14" t="n">
        <x:v>1</x:v>
      </x:c>
      <x:c r="M30" s="13" t="str">
        <x:v>Работа с вложенными ресурсами</x:v>
      </x:c>
      <x:c r="N30" s="13" t="str">
        <x:v>1 - бл-во осн территрии - ЛСР.pdf</x:v>
      </x:c>
      <x:c r="O30" s="13" t="str">
        <x:v>м²</x:v>
      </x:c>
      <x:c r="P30" s="13" t="str">
        <x:v>Раздел 3. Устройство плиточного покрытия</x:v>
      </x:c>
    </x:row>
    <x:row r="31" ht="39" customHeight="1">
      <x:c r="A31" s="8" t="str">
        <x:v>N001</x:v>
      </x:c>
      <x:c r="B31" s="8" t="str">
        <x:v>Сыпучие материалы и грунт</x:v>
      </x:c>
      <x:c r="C31" s="8" t="str">
        <x:v>14.1</x:v>
      </x:c>
      <x:c r="D31" s="8" t="str">
        <x:v>Песок природный для строительных работ I класс, мелкий</x:v>
      </x:c>
      <x:c r="E31" s="8" t="str">
        <x:v>м3</x:v>
      </x:c>
      <x:c r="F31" s="11" t="n">
        <x:v>3.927328</x:v>
      </x:c>
      <x:c r="G31" s="12" t="n">
        <x:v>1</x:v>
      </x:c>
      <x:c r="H31" s="11" t="n">
        <x:f>F31*G31</x:f>
        <x:v>3.927328</x:v>
      </x:c>
      <x:c r="I31" s="8" t="str">
        <x:v>Кандидаты</x:v>
      </x:c>
      <x:c r="J31" s="10" t="n">
        <x:v>1</x:v>
      </x:c>
      <x:c r="K31" s="10" t="n">
        <x:v>0</x:v>
      </x:c>
      <x:c r="L31" s="10" t="n">
        <x:v>1</x:v>
      </x:c>
      <x:c r="M31" s="8" t="str">
        <x:v>Ресурс родительской работы</x:v>
      </x:c>
      <x:c r="N31" s="8" t="str">
        <x:v>1 - бл-во осн территрии - ЛСР.pdf</x:v>
      </x:c>
      <x:c r="O31" s="8" t="str">
        <x:v>м³</x:v>
      </x:c>
      <x:c r="P31" s="8" t="str">
        <x:v>Раздел 3. Устройство плиточного покрытия</x:v>
      </x:c>
    </x:row>
    <x:row r="32" ht="39" customHeight="1">
      <x:c r="A32" s="13" t="str">
        <x:v>N004</x:v>
      </x:c>
      <x:c r="B32" s="13" t="str">
        <x:v>Бетон и сухие смеси</x:v>
      </x:c>
      <x:c r="C32" s="13" t="str">
        <x:v>14.2</x:v>
      </x:c>
      <x:c r="D32" s="13" t="str">
        <x:v>Смеси сухие цементно-песчаные монтажно-кладочные, крупность заполнителя не более 3,5 мм, класс В12,5 (М150), F100</x:v>
      </x:c>
      <x:c r="E32" s="13" t="str">
        <x:v>т</x:v>
      </x:c>
      <x:c r="F32" s="15" t="n">
        <x:v>34.300776</x:v>
      </x:c>
      <x:c r="G32" s="16" t="n">
        <x:v>1</x:v>
      </x:c>
      <x:c r="H32" s="15" t="n">
        <x:f>F32*G32</x:f>
        <x:v>34.300776</x:v>
      </x:c>
      <x:c r="I32" s="13" t="str">
        <x:v>Кандидаты</x:v>
      </x:c>
      <x:c r="J32" s="14" t="n">
        <x:v>1</x:v>
      </x:c>
      <x:c r="K32" s="14" t="n">
        <x:v>0</x:v>
      </x:c>
      <x:c r="L32" s="14" t="n">
        <x:v>1</x:v>
      </x:c>
      <x:c r="M32" s="13" t="str">
        <x:v>Ресурс родительской работы</x:v>
      </x:c>
      <x:c r="N32" s="13" t="str">
        <x:v>1 - бл-во осн территрии - ЛСР.pdf</x:v>
      </x:c>
      <x:c r="O32" s="13" t="str">
        <x:v>т</x:v>
      </x:c>
      <x:c r="P32" s="13" t="str">
        <x:v>Раздел 3. Устройство плиточного покрытия</x:v>
      </x:c>
    </x:row>
    <x:row r="33" ht="39" customHeight="1">
      <x:c r="A33" s="8" t="str">
        <x:v>N008</x:v>
      </x:c>
      <x:c r="B33" s="8" t="str">
        <x:v>Плитка и бордюры</x:v>
      </x:c>
      <x:c r="C33" s="8" t="str">
        <x:v>15</x:v>
      </x:c>
      <x:c r="D33" s="8" t="str">
        <x:v>Тротуарная плитка Готика Паркет, Тиманфайа, с/ц, ч/п h=60 мм размером 300x100 мм</x:v>
      </x:c>
      <x:c r="E33" s="8" t="str">
        <x:v>м2</x:v>
      </x:c>
      <x:c r="F33" s="11" t="n">
        <x:v>646.1088</x:v>
      </x:c>
      <x:c r="G33" s="12" t="n">
        <x:v>1</x:v>
      </x:c>
      <x:c r="H33" s="11" t="n">
        <x:f>F33*G33</x:f>
        <x:v>646.1088</x:v>
      </x:c>
      <x:c r="I33" s="8" t="str">
        <x:v>Кандидаты</x:v>
      </x:c>
      <x:c r="J33" s="10" t="n">
        <x:v>1</x:v>
      </x:c>
      <x:c r="K33" s="10" t="n">
        <x:v>0</x:v>
      </x:c>
      <x:c r="L33" s="10" t="n">
        <x:v>1</x:v>
      </x:c>
      <x:c r="M33" s="8" t="str">
        <x:v>Основная строка</x:v>
      </x:c>
      <x:c r="N33" s="8" t="str">
        <x:v>1 - бл-во осн территрии - ЛСР.pdf</x:v>
      </x:c>
      <x:c r="O33" s="8" t="str">
        <x:v>м²</x:v>
      </x:c>
      <x:c r="P33" s="8" t="str">
        <x:v>Раздел 3. Устройство плиточного покрытия</x:v>
      </x:c>
    </x:row>
    <x:row r="34" ht="39" customHeight="1">
      <x:c r="A34" s="13" t="str">
        <x:v>N105</x:v>
      </x:c>
      <x:c r="B34" s="13" t="str">
        <x:v>Мощение, бордюры и разметка</x:v>
      </x:c>
      <x:c r="C34" s="13" t="str">
        <x:v>16</x:v>
      </x:c>
      <x:c r="D34" s="13" t="str">
        <x:v>Устройство покрытий тротуаров из бетонной плитки типа "Брусчатка": рядовым или паркетным мощением</x:v>
      </x:c>
      <x:c r="E34" s="13" t="str">
        <x:v>100 м2</x:v>
      </x:c>
      <x:c r="F34" s="15" t="n">
        <x:v>27.0855</x:v>
      </x:c>
      <x:c r="G34" s="16" t="n">
        <x:v>100</x:v>
      </x:c>
      <x:c r="H34" s="15" t="n">
        <x:f>F34*G34</x:f>
        <x:v>2708.55</x:v>
      </x:c>
      <x:c r="I34" s="13" t="str">
        <x:v>Кандидаты</x:v>
      </x:c>
      <x:c r="J34" s="14" t="n">
        <x:v>1</x:v>
      </x:c>
      <x:c r="K34" s="14" t="n">
        <x:v>0</x:v>
      </x:c>
      <x:c r="L34" s="14" t="n">
        <x:v>1</x:v>
      </x:c>
      <x:c r="M34" s="13" t="str">
        <x:v>Работа с вложенными ресурсами</x:v>
      </x:c>
      <x:c r="N34" s="13" t="str">
        <x:v>1 - бл-во осн территрии - ЛСР.pdf</x:v>
      </x:c>
      <x:c r="O34" s="13" t="str">
        <x:v>м²</x:v>
      </x:c>
      <x:c r="P34" s="13" t="str">
        <x:v>Раздел 3. Устройство плиточного покрытия</x:v>
      </x:c>
    </x:row>
    <x:row r="35" ht="39" customHeight="1">
      <x:c r="A35" s="8" t="str">
        <x:v>N001</x:v>
      </x:c>
      <x:c r="B35" s="8" t="str">
        <x:v>Сыпучие материалы и грунт</x:v>
      </x:c>
      <x:c r="C35" s="8" t="str">
        <x:v>16.1</x:v>
      </x:c>
      <x:c r="D35" s="8" t="str">
        <x:v>Песок природный для строительных работ I класс, мелкий</x:v>
      </x:c>
      <x:c r="E35" s="8" t="str">
        <x:v>м3</x:v>
      </x:c>
      <x:c r="F35" s="11" t="n">
        <x:v>14.62617</x:v>
      </x:c>
      <x:c r="G35" s="12" t="n">
        <x:v>1</x:v>
      </x:c>
      <x:c r="H35" s="11" t="n">
        <x:f>F35*G35</x:f>
        <x:v>14.62617</x:v>
      </x:c>
      <x:c r="I35" s="8" t="str">
        <x:v>Кандидаты</x:v>
      </x:c>
      <x:c r="J35" s="10" t="n">
        <x:v>1</x:v>
      </x:c>
      <x:c r="K35" s="10" t="n">
        <x:v>0</x:v>
      </x:c>
      <x:c r="L35" s="10" t="n">
        <x:v>1</x:v>
      </x:c>
      <x:c r="M35" s="8" t="str">
        <x:v>Ресурс родительской работы</x:v>
      </x:c>
      <x:c r="N35" s="8" t="str">
        <x:v>1 - бл-во осн территрии - ЛСР.pdf</x:v>
      </x:c>
      <x:c r="O35" s="8" t="str">
        <x:v>м³</x:v>
      </x:c>
      <x:c r="P35" s="8" t="str">
        <x:v>Раздел 3. Устройство плиточного покрытия</x:v>
      </x:c>
    </x:row>
    <x:row r="36" ht="39" customHeight="1">
      <x:c r="A36" s="13" t="str">
        <x:v>N004</x:v>
      </x:c>
      <x:c r="B36" s="13" t="str">
        <x:v>Бетон и сухие смеси</x:v>
      </x:c>
      <x:c r="C36" s="13" t="str">
        <x:v>16.2</x:v>
      </x:c>
      <x:c r="D36" s="13" t="str">
        <x:v>Смеси сухие цементно-песчаные монтажно-кладочные, крупность заполнителя не более 3,5 мм, класс В12,5 (М150), F100</x:v>
      </x:c>
      <x:c r="E36" s="13" t="str">
        <x:v>т</x:v>
      </x:c>
      <x:c r="F36" s="15" t="n">
        <x:v>146.6679825</x:v>
      </x:c>
      <x:c r="G36" s="16" t="n">
        <x:v>1</x:v>
      </x:c>
      <x:c r="H36" s="15" t="n">
        <x:f>F36*G36</x:f>
        <x:v>146.6679825</x:v>
      </x:c>
      <x:c r="I36" s="13" t="str">
        <x:v>Цена не найдена</x:v>
      </x:c>
      <x:c r="J36" s="14" t="n">
        <x:v>1</x:v>
      </x:c>
      <x:c r="K36" s="14" t="n">
        <x:v>0</x:v>
      </x:c>
      <x:c r="L36" s="14" t="n">
        <x:v>1</x:v>
      </x:c>
      <x:c r="M36" s="13" t="str">
        <x:v>Ресурс родительской работы</x:v>
      </x:c>
      <x:c r="N36" s="13" t="str">
        <x:v>1 - бл-во осн территрии - ЛСР.pdf</x:v>
      </x:c>
      <x:c r="O36" s="13" t="str">
        <x:v>т</x:v>
      </x:c>
      <x:c r="P36" s="13" t="str">
        <x:v>Раздел 3. Устройство плиточного покрытия</x:v>
      </x:c>
    </x:row>
    <x:row r="37" ht="39" customHeight="1">
      <x:c r="A37" s="8" t="str">
        <x:v>N011</x:v>
      </x:c>
      <x:c r="B37" s="8" t="str">
        <x:v>Плитка и бордюры</x:v>
      </x:c>
      <x:c r="C37" s="8" t="str">
        <x:v>17</x:v>
      </x:c>
      <x:c r="D37" s="8" t="str">
        <x:v>Тротуарная плитка Готика Полигональ, Голд 1, б/ц, ч/п, h=80 мм размером 893x780 мм</x:v>
      </x:c>
      <x:c r="E37" s="8" t="str">
        <x:v>м2</x:v>
      </x:c>
      <x:c r="F37" s="11" t="n">
        <x:v>920.907</x:v>
      </x:c>
      <x:c r="G37" s="12" t="n">
        <x:v>1</x:v>
      </x:c>
      <x:c r="H37" s="11" t="n">
        <x:f>F37*G37</x:f>
        <x:v>920.907</x:v>
      </x:c>
      <x:c r="I37" s="8" t="str">
        <x:v>Кандидаты</x:v>
      </x:c>
      <x:c r="J37" s="10" t="n">
        <x:v>1</x:v>
      </x:c>
      <x:c r="K37" s="10" t="n">
        <x:v>0</x:v>
      </x:c>
      <x:c r="L37" s="10" t="n">
        <x:v>1</x:v>
      </x:c>
      <x:c r="M37" s="8" t="str">
        <x:v>Основная строка</x:v>
      </x:c>
      <x:c r="N37" s="8" t="str">
        <x:v>1 - бл-во осн территрии - ЛСР.pdf</x:v>
      </x:c>
      <x:c r="O37" s="8" t="str">
        <x:v>м²</x:v>
      </x:c>
      <x:c r="P37" s="8" t="str">
        <x:v>Раздел 3. Устройство плиточного покрытия</x:v>
      </x:c>
    </x:row>
    <x:row r="38" ht="39" customHeight="1">
      <x:c r="A38" s="13" t="str">
        <x:v>N012</x:v>
      </x:c>
      <x:c r="B38" s="13" t="str">
        <x:v>Плитка и бордюры</x:v>
      </x:c>
      <x:c r="C38" s="13" t="str">
        <x:v>18</x:v>
      </x:c>
      <x:c r="D38" s="13" t="str">
        <x:v>Тротуарная плитка Готика Полигональ, Голд 16, б/ц, ч/п, h=80 мм размером 893x780 мм</x:v>
      </x:c>
      <x:c r="E38" s="13" t="str">
        <x:v>м2</x:v>
      </x:c>
      <x:c r="F38" s="15" t="n">
        <x:v>920.907</x:v>
      </x:c>
      <x:c r="G38" s="16" t="n">
        <x:v>1</x:v>
      </x:c>
      <x:c r="H38" s="15" t="n">
        <x:f>F38*G38</x:f>
        <x:v>920.907</x:v>
      </x:c>
      <x:c r="I38" s="13" t="str">
        <x:v>Кандидаты</x:v>
      </x:c>
      <x:c r="J38" s="14" t="n">
        <x:v>1</x:v>
      </x:c>
      <x:c r="K38" s="14" t="n">
        <x:v>0</x:v>
      </x:c>
      <x:c r="L38" s="14" t="n">
        <x:v>1</x:v>
      </x:c>
      <x:c r="M38" s="13" t="str">
        <x:v>Основная строка</x:v>
      </x:c>
      <x:c r="N38" s="13" t="str">
        <x:v>1 - бл-во осн территрии - ЛСР.pdf</x:v>
      </x:c>
      <x:c r="O38" s="13" t="str">
        <x:v>м²</x:v>
      </x:c>
      <x:c r="P38" s="13" t="str">
        <x:v>Раздел 3. Устройство плиточного покрытия</x:v>
      </x:c>
    </x:row>
    <x:row r="39" ht="39" customHeight="1">
      <x:c r="A39" s="8" t="str">
        <x:v>N013</x:v>
      </x:c>
      <x:c r="B39" s="8" t="str">
        <x:v>Плитка и бордюры</x:v>
      </x:c>
      <x:c r="C39" s="8" t="str">
        <x:v>19</x:v>
      </x:c>
      <x:c r="D39" s="8" t="str">
        <x:v>Тротуарная плитка Готика Полигональ, Голд 18, с/ц ч/п h=80 мм размером 893x780 мм</x:v>
      </x:c>
      <x:c r="E39" s="8" t="str">
        <x:v>м2</x:v>
      </x:c>
      <x:c r="F39" s="11" t="n">
        <x:v>920.907</x:v>
      </x:c>
      <x:c r="G39" s="12" t="n">
        <x:v>1</x:v>
      </x:c>
      <x:c r="H39" s="11" t="n">
        <x:f>F39*G39</x:f>
        <x:v>920.907</x:v>
      </x:c>
      <x:c r="I39" s="8" t="str">
        <x:v>Кандидаты</x:v>
      </x:c>
      <x:c r="J39" s="10" t="n">
        <x:v>1</x:v>
      </x:c>
      <x:c r="K39" s="10" t="n">
        <x:v>0</x:v>
      </x:c>
      <x:c r="L39" s="10" t="n">
        <x:v>1</x:v>
      </x:c>
      <x:c r="M39" s="8" t="str">
        <x:v>Основная строка</x:v>
      </x:c>
      <x:c r="N39" s="8" t="str">
        <x:v>1 - бл-во осн территрии - ЛСР.pdf</x:v>
      </x:c>
      <x:c r="O39" s="8" t="str">
        <x:v>м²</x:v>
      </x:c>
      <x:c r="P39" s="8" t="str">
        <x:v>Раздел 3. Устройство плиточного покрытия</x:v>
      </x:c>
    </x:row>
    <x:row r="40" ht="39" customHeight="1">
      <x:c r="A40" s="13" t="str">
        <x:v>N109</x:v>
      </x:c>
      <x:c r="B40" s="13" t="str">
        <x:v>Мощение, бордюры и разметка</x:v>
      </x:c>
      <x:c r="C40" s="13" t="str">
        <x:v>20</x:v>
      </x:c>
      <x:c r="D40" s="13" t="str">
        <x:v>Резка тротуарной плитки толщиной 70 мм: на отрезном станке</x:v>
      </x:c>
      <x:c r="E40" s="13" t="str">
        <x:v>м реза</x:v>
      </x:c>
      <x:c r="F40" s="15" t="n">
        <x:v>1139.1</x:v>
      </x:c>
      <x:c r="G40" s="16" t="n">
        <x:v>1</x:v>
      </x:c>
      <x:c r="H40" s="15" t="n">
        <x:f>F40*G40</x:f>
        <x:v>1139.1</x:v>
      </x:c>
      <x:c r="I40" s="13" t="str">
        <x:v>Кандидаты</x:v>
      </x:c>
      <x:c r="J40" s="14" t="n">
        <x:v>1</x:v>
      </x:c>
      <x:c r="K40" s="14" t="n">
        <x:v>0</x:v>
      </x:c>
      <x:c r="L40" s="14" t="n">
        <x:v>1</x:v>
      </x:c>
      <x:c r="M40" s="13" t="str">
        <x:v>Основная строка</x:v>
      </x:c>
      <x:c r="N40" s="13" t="str">
        <x:v>1 - бл-во осн территрии - ЛСР.pdf</x:v>
      </x:c>
      <x:c r="O40" s="13" t="str">
        <x:v>м реза</x:v>
      </x:c>
      <x:c r="P40" s="13" t="str">
        <x:v>Раздел 3. Устройство плиточного покрытия</x:v>
      </x:c>
    </x:row>
    <x:row r="41" ht="39" customHeight="1">
      <x:c r="A41" s="8" t="str"/>
      <x:c r="B41" s="8" t="str">
        <x:v>Расчётные и корректирующие строки</x:v>
      </x:c>
      <x:c r="C41" s="8" t="str">
        <x:v>21</x:v>
      </x:c>
      <x:c r="D41" s="8" t="str">
        <x:v>Добавлять (уменьшать) на каждые 10 мм: к норме 27-07-005-04 - до 60 мм</x:v>
      </x:c>
      <x:c r="E41" s="8" t="str">
        <x:v>м реза</x:v>
      </x:c>
      <x:c r="F41" s="11" t="n">
        <x:v>-830.4</x:v>
      </x:c>
      <x:c r="G41" s="12" t="n">
        <x:v>1</x:v>
      </x:c>
      <x:c r="H41" s="11" t="n">
        <x:f>F41*G41</x:f>
        <x:v>-830.4</x:v>
      </x:c>
      <x:c r="I41" s="8" t="str">
        <x:v>Не искать отдельно</x:v>
      </x:c>
      <x:c r="J41" s="10" t="n">
        <x:v>0</x:v>
      </x:c>
      <x:c r="K41" s="10" t="n">
        <x:v>0</x:v>
      </x:c>
      <x:c r="L41" s="10" t="n">
        <x:v>0</x:v>
      </x:c>
      <x:c r="M41" s="8" t="str">
        <x:v>Основная строка</x:v>
      </x:c>
      <x:c r="N41" s="8" t="str">
        <x:v>1 - бл-во осн территрии - ЛСР.pdf</x:v>
      </x:c>
      <x:c r="O41" s="8" t="str">
        <x:v>м реза</x:v>
      </x:c>
      <x:c r="P41" s="8" t="str">
        <x:v>Раздел 3. Устройство плиточного покрытия</x:v>
      </x:c>
    </x:row>
    <x:row r="42" ht="39" customHeight="1">
      <x:c r="A42" s="13" t="str"/>
      <x:c r="B42" s="13" t="str">
        <x:v>Расчётные и корректирующие строки</x:v>
      </x:c>
      <x:c r="C42" s="13" t="str">
        <x:v>22</x:v>
      </x:c>
      <x:c r="D42" s="13" t="str">
        <x:v>Добавлять (уменьшать) на каждые 10 мм: к норме 27-07-005-04 - до 80 мм</x:v>
      </x:c>
      <x:c r="E42" s="13" t="str">
        <x:v>м реза</x:v>
      </x:c>
      <x:c r="F42" s="15" t="n">
        <x:v>308.7</x:v>
      </x:c>
      <x:c r="G42" s="16" t="n">
        <x:v>1</x:v>
      </x:c>
      <x:c r="H42" s="15" t="n">
        <x:f>F42*G42</x:f>
        <x:v>308.7</x:v>
      </x:c>
      <x:c r="I42" s="13" t="str">
        <x:v>Не искать отдельно</x:v>
      </x:c>
      <x:c r="J42" s="14" t="n">
        <x:v>0</x:v>
      </x:c>
      <x:c r="K42" s="14" t="n">
        <x:v>0</x:v>
      </x:c>
      <x:c r="L42" s="14" t="n">
        <x:v>0</x:v>
      </x:c>
      <x:c r="M42" s="13" t="str">
        <x:v>Основная строка</x:v>
      </x:c>
      <x:c r="N42" s="13" t="str">
        <x:v>1 - бл-во осн территрии - ЛСР.pdf</x:v>
      </x:c>
      <x:c r="O42" s="13" t="str">
        <x:v>м реза</x:v>
      </x:c>
      <x:c r="P42" s="13" t="str">
        <x:v>Раздел 3. Устройство плиточного покрытия</x:v>
      </x:c>
    </x:row>
    <x:row r="43" ht="39" customHeight="1">
      <x:c r="A43" s="8" t="str">
        <x:v>N100</x:v>
      </x:c>
      <x:c r="B43" s="8" t="str">
        <x:v>Основания, бетон и геоматериалы</x:v>
      </x:c>
      <x:c r="C43" s="8" t="str">
        <x:v>23</x:v>
      </x:c>
      <x:c r="D43" s="8" t="str">
        <x:v>Устройство подстилающих и выравнивающих слоев оснований: из песка</x:v>
      </x:c>
      <x:c r="E43" s="8" t="str">
        <x:v>100 м3</x:v>
      </x:c>
      <x:c r="F43" s="11" t="n">
        <x:v>1.6532</x:v>
      </x:c>
      <x:c r="G43" s="12" t="n">
        <x:v>100</x:v>
      </x:c>
      <x:c r="H43" s="11" t="n">
        <x:f>F43*G43</x:f>
        <x:v>165.32</x:v>
      </x:c>
      <x:c r="I43" s="8" t="str">
        <x:v>Кандидаты</x:v>
      </x:c>
      <x:c r="J43" s="10" t="n">
        <x:v>1</x:v>
      </x:c>
      <x:c r="K43" s="10" t="n">
        <x:v>0</x:v>
      </x:c>
      <x:c r="L43" s="10" t="n">
        <x:v>1</x:v>
      </x:c>
      <x:c r="M43" s="8" t="str">
        <x:v>Работа с вложенными ресурсами</x:v>
      </x:c>
      <x:c r="N43" s="8" t="str">
        <x:v>1 - бл-во осн территрии - ЛСР.pdf</x:v>
      </x:c>
      <x:c r="O43" s="8" t="str">
        <x:v>м³</x:v>
      </x:c>
      <x:c r="P43" s="8" t="str">
        <x:v>Раздел 4. Устройство покрытия велодорожки</x:v>
      </x:c>
    </x:row>
    <x:row r="44" ht="39" customHeight="1">
      <x:c r="A44" s="13" t="str">
        <x:v>N001</x:v>
      </x:c>
      <x:c r="B44" s="13" t="str">
        <x:v>Сыпучие материалы и грунт</x:v>
      </x:c>
      <x:c r="C44" s="13" t="str">
        <x:v>23.1</x:v>
      </x:c>
      <x:c r="D44" s="13" t="str">
        <x:v>Песок природный для строительных работ I класс, мелкий</x:v>
      </x:c>
      <x:c r="E44" s="13" t="str">
        <x:v>м3</x:v>
      </x:c>
      <x:c r="F44" s="15" t="n">
        <x:v>181.852</x:v>
      </x:c>
      <x:c r="G44" s="16" t="n">
        <x:v>1</x:v>
      </x:c>
      <x:c r="H44" s="15" t="n">
        <x:f>F44*G44</x:f>
        <x:v>181.852</x:v>
      </x:c>
      <x:c r="I44" s="13" t="str">
        <x:v>Кандидаты</x:v>
      </x:c>
      <x:c r="J44" s="14" t="n">
        <x:v>1</x:v>
      </x:c>
      <x:c r="K44" s="14" t="n">
        <x:v>0</x:v>
      </x:c>
      <x:c r="L44" s="14" t="n">
        <x:v>1</x:v>
      </x:c>
      <x:c r="M44" s="13" t="str">
        <x:v>Ресурс родительской работы</x:v>
      </x:c>
      <x:c r="N44" s="13" t="str">
        <x:v>1 - бл-во осн территрии - ЛСР.pdf</x:v>
      </x:c>
      <x:c r="O44" s="13" t="str">
        <x:v>м³</x:v>
      </x:c>
      <x:c r="P44" s="13" t="str">
        <x:v>Раздел 4. Устройство покрытия велодорожки</x:v>
      </x:c>
    </x:row>
    <x:row r="45" ht="39" customHeight="1">
      <x:c r="A45" s="8" t="str">
        <x:v>N098</x:v>
      </x:c>
      <x:c r="B45" s="8" t="str">
        <x:v>Основания, бетон и геоматериалы</x:v>
      </x:c>
      <x:c r="C45" s="8" t="str">
        <x:v>24</x:v>
      </x:c>
      <x:c r="D45" s="8" t="str">
        <x:v>Устройство прослойки из нетканого синтетического материала (НСМ) в земляном полотне: сплошной</x:v>
      </x:c>
      <x:c r="E45" s="8" t="str">
        <x:v>1000 м2</x:v>
      </x:c>
      <x:c r="F45" s="11" t="n">
        <x:v>1.10215</x:v>
      </x:c>
      <x:c r="G45" s="12" t="n">
        <x:v>1000</x:v>
      </x:c>
      <x:c r="H45" s="11" t="n">
        <x:f>F45*G45</x:f>
        <x:v>1102.1499999999999</x:v>
      </x:c>
      <x:c r="I45" s="8" t="str">
        <x:v>Кандидаты</x:v>
      </x:c>
      <x:c r="J45" s="10" t="n">
        <x:v>1</x:v>
      </x:c>
      <x:c r="K45" s="10" t="n">
        <x:v>0</x:v>
      </x:c>
      <x:c r="L45" s="10" t="n">
        <x:v>1</x:v>
      </x:c>
      <x:c r="M45" s="8" t="str">
        <x:v>Работа с вложенными ресурсами</x:v>
      </x:c>
      <x:c r="N45" s="8" t="str">
        <x:v>1 - бл-во осн территрии - ЛСР.pdf</x:v>
      </x:c>
      <x:c r="O45" s="8" t="str">
        <x:v>м²</x:v>
      </x:c>
      <x:c r="P45" s="8" t="str">
        <x:v>Раздел 4. Устройство покрытия велодорожки</x:v>
      </x:c>
    </x:row>
    <x:row r="46" ht="39" customHeight="1">
      <x:c r="A46" s="13" t="str">
        <x:v>N019</x:v>
      </x:c>
      <x:c r="B46" s="13" t="str">
        <x:v>Геоматериалы и газонные семена</x:v>
      </x:c>
      <x:c r="C46" s="13" t="str">
        <x:v>24.1</x:v>
      </x:c>
      <x:c r="D46" s="13" t="str">
        <x:v>Геополотно нетканое полиэфирное, иглопробивное, поверхностная плотность 200 г/м2</x:v>
      </x:c>
      <x:c r="E46" s="13" t="str">
        <x:v>м2</x:v>
      </x:c>
      <x:c r="F46" s="15" t="n">
        <x:v>1212.365</x:v>
      </x:c>
      <x:c r="G46" s="16" t="n">
        <x:v>1</x:v>
      </x:c>
      <x:c r="H46" s="15" t="n">
        <x:f>F46*G46</x:f>
        <x:v>1212.365</x:v>
      </x:c>
      <x:c r="I46" s="13" t="str">
        <x:v>Цена есть</x:v>
      </x:c>
      <x:c r="J46" s="14" t="n">
        <x:v>0</x:v>
      </x:c>
      <x:c r="K46" s="14" t="n">
        <x:v>1</x:v>
      </x:c>
      <x:c r="L46" s="14" t="n">
        <x:v>1</x:v>
      </x:c>
      <x:c r="M46" s="13" t="str">
        <x:v>Ресурс родительской работы</x:v>
      </x:c>
      <x:c r="N46" s="13" t="str">
        <x:v>1 - бл-во осн территрии - ЛСР.pdf</x:v>
      </x:c>
      <x:c r="O46" s="13" t="str">
        <x:v>м²</x:v>
      </x:c>
      <x:c r="P46" s="13" t="str">
        <x:v>Раздел 4. Устройство покрытия велодорожки</x:v>
      </x:c>
    </x:row>
    <x:row r="47" ht="39" customHeight="1">
      <x:c r="A47" s="8" t="str">
        <x:v>N101</x:v>
      </x:c>
      <x:c r="B47" s="8" t="str">
        <x:v>Основания, бетон и геоматериалы</x:v>
      </x:c>
      <x:c r="C47" s="8" t="str">
        <x:v>25</x:v>
      </x:c>
      <x:c r="D47" s="8" t="str">
        <x:v>Устройство подстилающих и выравнивающих слоев оснований: из щебня</x:v>
      </x:c>
      <x:c r="E47" s="8" t="str">
        <x:v>100 м3</x:v>
      </x:c>
      <x:c r="F47" s="11" t="n">
        <x:v>1.6532</x:v>
      </x:c>
      <x:c r="G47" s="12" t="n">
        <x:v>100</x:v>
      </x:c>
      <x:c r="H47" s="11" t="n">
        <x:f>F47*G47</x:f>
        <x:v>165.32</x:v>
      </x:c>
      <x:c r="I47" s="8" t="str">
        <x:v>Кандидаты</x:v>
      </x:c>
      <x:c r="J47" s="10" t="n">
        <x:v>1</x:v>
      </x:c>
      <x:c r="K47" s="10" t="n">
        <x:v>0</x:v>
      </x:c>
      <x:c r="L47" s="10" t="n">
        <x:v>1</x:v>
      </x:c>
      <x:c r="M47" s="8" t="str">
        <x:v>Работа с вложенными ресурсами</x:v>
      </x:c>
      <x:c r="N47" s="8" t="str">
        <x:v>1 - бл-во осн территрии - ЛСР.pdf</x:v>
      </x:c>
      <x:c r="O47" s="8" t="str">
        <x:v>м³</x:v>
      </x:c>
      <x:c r="P47" s="8" t="str">
        <x:v>Раздел 4. Устройство покрытия велодорожки</x:v>
      </x:c>
    </x:row>
    <x:row r="48" ht="39" customHeight="1">
      <x:c r="A48" s="13" t="str">
        <x:v>N002</x:v>
      </x:c>
      <x:c r="B48" s="13" t="str">
        <x:v>Сыпучие материалы и грунт</x:v>
      </x:c>
      <x:c r="C48" s="13" t="str">
        <x:v>25.1</x:v>
      </x:c>
      <x:c r="D48" s="13" t="str">
        <x:v>Щебень из плотных горных пород для строительных работ М 1200, фракция 20-40 мм</x:v>
      </x:c>
      <x:c r="E48" s="13" t="str">
        <x:v>м3</x:v>
      </x:c>
      <x:c r="F48" s="15" t="n">
        <x:v>208.3032</x:v>
      </x:c>
      <x:c r="G48" s="16" t="n">
        <x:v>1</x:v>
      </x:c>
      <x:c r="H48" s="15" t="n">
        <x:f>F48*G48</x:f>
        <x:v>208.3032</x:v>
      </x:c>
      <x:c r="I48" s="13" t="str">
        <x:v>Кандидаты</x:v>
      </x:c>
      <x:c r="J48" s="14" t="n">
        <x:v>1</x:v>
      </x:c>
      <x:c r="K48" s="14" t="n">
        <x:v>0</x:v>
      </x:c>
      <x:c r="L48" s="14" t="n">
        <x:v>1</x:v>
      </x:c>
      <x:c r="M48" s="13" t="str">
        <x:v>Ресурс родительской работы</x:v>
      </x:c>
      <x:c r="N48" s="13" t="str">
        <x:v>1 - бл-во осн территрии - ЛСР.pdf</x:v>
      </x:c>
      <x:c r="O48" s="13" t="str">
        <x:v>м³</x:v>
      </x:c>
      <x:c r="P48" s="13" t="str">
        <x:v>Раздел 4. Устройство покрытия велодорожки</x:v>
      </x:c>
    </x:row>
    <x:row r="49" ht="54" customHeight="1">
      <x:c r="A49" s="8" t="str">
        <x:v>N113</x:v>
      </x:c>
      <x:c r="B49" s="8" t="str">
        <x:v>Мощение, бордюры и разметка</x:v>
      </x:c>
      <x:c r="C49" s="8" t="str">
        <x:v>26</x:v>
      </x:c>
      <x:c r="D49" s="8" t="str">
        <x:v>Устройство покрытия дорожек и тротуаров из горячих асфальтобетонных смесей асфальтоукладчиками первого типоразмера, толщина слоя 4 см</x:v>
      </x:c>
      <x:c r="E49" s="8" t="str">
        <x:v>1000 м2</x:v>
      </x:c>
      <x:c r="F49" s="11" t="n">
        <x:v>1.10215</x:v>
      </x:c>
      <x:c r="G49" s="12" t="n">
        <x:v>1000</x:v>
      </x:c>
      <x:c r="H49" s="11" t="n">
        <x:f>F49*G49</x:f>
        <x:v>1102.1499999999999</x:v>
      </x:c>
      <x:c r="I49" s="8" t="str">
        <x:v>Кандидаты</x:v>
      </x:c>
      <x:c r="J49" s="10" t="n">
        <x:v>1</x:v>
      </x:c>
      <x:c r="K49" s="10" t="n">
        <x:v>0</x:v>
      </x:c>
      <x:c r="L49" s="10" t="n">
        <x:v>1</x:v>
      </x:c>
      <x:c r="M49" s="8" t="str">
        <x:v>Работа с вложенными ресурсами</x:v>
      </x:c>
      <x:c r="N49" s="8" t="str">
        <x:v>1 - бл-во осн территрии - ЛСР.pdf</x:v>
      </x:c>
      <x:c r="O49" s="8" t="str">
        <x:v>м²</x:v>
      </x:c>
      <x:c r="P49" s="8" t="str">
        <x:v>Раздел 4. Устройство покрытия велодорожки</x:v>
      </x:c>
    </x:row>
    <x:row r="50" ht="39" customHeight="1">
      <x:c r="A50" s="13" t="str">
        <x:v>N017</x:v>
      </x:c>
      <x:c r="B50" s="13" t="str">
        <x:v>Асфальт и дорожная разметка</x:v>
      </x:c>
      <x:c r="C50" s="13" t="str">
        <x:v>26.1</x:v>
      </x:c>
      <x:c r="D50" s="13" t="str">
        <x:v>Эмульсия битумно-дорожная</x:v>
      </x:c>
      <x:c r="E50" s="13" t="str">
        <x:v>т</x:v>
      </x:c>
      <x:c r="F50" s="15" t="n">
        <x:v>0.7163975</x:v>
      </x:c>
      <x:c r="G50" s="16" t="n">
        <x:v>1</x:v>
      </x:c>
      <x:c r="H50" s="15" t="n">
        <x:f>F50*G50</x:f>
        <x:v>0.7163975</x:v>
      </x:c>
      <x:c r="I50" s="13" t="str">
        <x:v>Цена есть</x:v>
      </x:c>
      <x:c r="J50" s="14" t="n">
        <x:v>0</x:v>
      </x:c>
      <x:c r="K50" s="14" t="n">
        <x:v>1</x:v>
      </x:c>
      <x:c r="L50" s="14" t="n">
        <x:v>1</x:v>
      </x:c>
      <x:c r="M50" s="13" t="str">
        <x:v>Ресурс родительской работы</x:v>
      </x:c>
      <x:c r="N50" s="13" t="str">
        <x:v>1 - бл-во осн территрии - ЛСР.pdf</x:v>
      </x:c>
      <x:c r="O50" s="13" t="str">
        <x:v>т</x:v>
      </x:c>
      <x:c r="P50" s="13" t="str">
        <x:v>Раздел 4. Устройство покрытия велодорожки</x:v>
      </x:c>
    </x:row>
    <x:row r="51" ht="39" customHeight="1">
      <x:c r="A51" s="8" t="str"/>
      <x:c r="B51" s="8" t="str">
        <x:v>Расчётные и корректирующие строки</x:v>
      </x:c>
      <x:c r="C51" s="8" t="str">
        <x:v>27</x:v>
      </x:c>
      <x:c r="D51" s="8" t="str">
        <x:v>При изменении толщины слоя покрытия на 0,5 см добавлять или исключать к норме 27-07-006-01</x:v>
      </x:c>
      <x:c r="E51" s="8" t="str">
        <x:v>1000 м2</x:v>
      </x:c>
      <x:c r="F51" s="11" t="n">
        <x:v>1.10215</x:v>
      </x:c>
      <x:c r="G51" s="12" t="n">
        <x:v>1000</x:v>
      </x:c>
      <x:c r="H51" s="11" t="n">
        <x:f>F51*G51</x:f>
        <x:v>1102.1499999999999</x:v>
      </x:c>
      <x:c r="I51" s="8" t="str">
        <x:v>Не искать отдельно</x:v>
      </x:c>
      <x:c r="J51" s="10" t="n">
        <x:v>0</x:v>
      </x:c>
      <x:c r="K51" s="10" t="n">
        <x:v>0</x:v>
      </x:c>
      <x:c r="L51" s="10" t="n">
        <x:v>0</x:v>
      </x:c>
      <x:c r="M51" s="8" t="str">
        <x:v>Основная строка</x:v>
      </x:c>
      <x:c r="N51" s="8" t="str">
        <x:v>1 - бл-во осн территрии - ЛСР.pdf</x:v>
      </x:c>
      <x:c r="O51" s="8" t="str">
        <x:v>м²</x:v>
      </x:c>
      <x:c r="P51" s="8" t="str">
        <x:v>Раздел 4. Устройство покрытия велодорожки</x:v>
      </x:c>
    </x:row>
    <x:row r="52" ht="39" customHeight="1">
      <x:c r="A52" s="13" t="str">
        <x:v>N016</x:v>
      </x:c>
      <x:c r="B52" s="13" t="str">
        <x:v>Асфальт и дорожная разметка</x:v>
      </x:c>
      <x:c r="C52" s="13" t="str">
        <x:v>28</x:v>
      </x:c>
      <x:c r="D52" s="13" t="str">
        <x:v>Плотная мелкозернистая асфальтобетонная смесь марка III тип Д с красным пигментом</x:v>
      </x:c>
      <x:c r="E52" s="13" t="str">
        <x:v>т</x:v>
      </x:c>
      <x:c r="F52" s="15" t="n">
        <x:v>128.4</x:v>
      </x:c>
      <x:c r="G52" s="16" t="n">
        <x:v>1</x:v>
      </x:c>
      <x:c r="H52" s="15" t="n">
        <x:f>F52*G52</x:f>
        <x:v>128.4</x:v>
      </x:c>
      <x:c r="I52" s="13" t="str">
        <x:v>Кандидаты</x:v>
      </x:c>
      <x:c r="J52" s="14" t="n">
        <x:v>1</x:v>
      </x:c>
      <x:c r="K52" s="14" t="n">
        <x:v>0</x:v>
      </x:c>
      <x:c r="L52" s="14" t="n">
        <x:v>1</x:v>
      </x:c>
      <x:c r="M52" s="13" t="str">
        <x:v>Основная строка</x:v>
      </x:c>
      <x:c r="N52" s="13" t="str">
        <x:v>1 - бл-во осн территрии - ЛСР.pdf</x:v>
      </x:c>
      <x:c r="O52" s="13" t="str">
        <x:v>т</x:v>
      </x:c>
      <x:c r="P52" s="13" t="str">
        <x:v>Раздел 4. Устройство покрытия велодорожки</x:v>
      </x:c>
    </x:row>
    <x:row r="53" ht="69" customHeight="1">
      <x:c r="A53" s="8" t="str">
        <x:v>N096</x:v>
      </x:c>
      <x:c r="B53" s="8" t="str">
        <x:v>Погрузка и перевозка</x:v>
      </x:c>
      <x:c r="C53" s="8" t="str">
        <x:v>29</x:v>
      </x:c>
      <x:c r="D53" s="8" t="str">
        <x:v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x:v>
      </x:c>
      <x:c r="E53" s="8" t="str">
        <x:v>1т груза</x:v>
      </x:c>
      <x:c r="F53" s="11" t="n">
        <x:v>128.4</x:v>
      </x:c>
      <x:c r="G53" s="12" t="n">
        <x:v>1</x:v>
      </x:c>
      <x:c r="H53" s="11" t="n">
        <x:f>F53*G53</x:f>
        <x:v>128.4</x:v>
      </x:c>
      <x:c r="I53" s="8" t="str">
        <x:v>Кандидаты</x:v>
      </x:c>
      <x:c r="J53" s="10" t="n">
        <x:v>1</x:v>
      </x:c>
      <x:c r="K53" s="10" t="n">
        <x:v>0</x:v>
      </x:c>
      <x:c r="L53" s="10" t="n">
        <x:v>1</x:v>
      </x:c>
      <x:c r="M53" s="8" t="str">
        <x:v>Основная строка</x:v>
      </x:c>
      <x:c r="N53" s="8" t="str">
        <x:v>1 - бл-во осн территрии - ЛСР.pdf</x:v>
      </x:c>
      <x:c r="O53" s="8" t="str">
        <x:v>т груза</x:v>
      </x:c>
      <x:c r="P53" s="8" t="str">
        <x:v>Раздел 4. Устройство покрытия велодорожки</x:v>
      </x:c>
    </x:row>
    <x:row r="54" ht="54" customHeight="1">
      <x:c r="A54" s="13" t="str">
        <x:v>N108</x:v>
      </x:c>
      <x:c r="B54" s="13" t="str">
        <x:v>Мощение, бордюры и разметка</x:v>
      </x:c>
      <x:c r="C54" s="13" t="str">
        <x:v>30</x:v>
      </x:c>
      <x:c r="D54" s="13" t="str">
        <x:v>Нанесение линии горизонтальной дорожной разметки краской со световозвращающими элементами механизированным способом, шириной: 0,1 м, сплошной - разметка 1.2</x:v>
      </x:c>
      <x:c r="E54" s="13" t="str">
        <x:v>100 м2</x:v>
      </x:c>
      <x:c r="F54" s="15" t="n">
        <x:v>0.8733</x:v>
      </x:c>
      <x:c r="G54" s="16" t="n">
        <x:v>100</x:v>
      </x:c>
      <x:c r="H54" s="15" t="n">
        <x:f>F54*G54</x:f>
        <x:v>87.33</x:v>
      </x:c>
      <x:c r="I54" s="13" t="str">
        <x:v>Кандидаты</x:v>
      </x:c>
      <x:c r="J54" s="14" t="n">
        <x:v>1</x:v>
      </x:c>
      <x:c r="K54" s="14" t="n">
        <x:v>0</x:v>
      </x:c>
      <x:c r="L54" s="14" t="n">
        <x:v>1</x:v>
      </x:c>
      <x:c r="M54" s="13" t="str">
        <x:v>Работа с вложенными ресурсами</x:v>
      </x:c>
      <x:c r="N54" s="13" t="str">
        <x:v>1 - бл-во осн территрии - ЛСР.pdf</x:v>
      </x:c>
      <x:c r="O54" s="13" t="str">
        <x:v>м²</x:v>
      </x:c>
      <x:c r="P54" s="13" t="str">
        <x:v>Раздел 4. Устройство покрытия велодорожки</x:v>
      </x:c>
    </x:row>
    <x:row r="55" ht="54" customHeight="1">
      <x:c r="A55" s="8" t="str">
        <x:v>N015</x:v>
      </x:c>
      <x:c r="B55" s="8" t="str">
        <x:v>Асфальт и дорожная разметка</x:v>
      </x:c>
      <x:c r="C55" s="8" t="str">
        <x:v>30.1</x:v>
      </x:c>
      <x:c r="D55" s="8" t="str">
        <x:v>Краска для дорожной разметки автомобильных дорог, суспензия пигментов и наполнителей в акриловом сополимере с модифицирующими добавками, цвет белый</x:v>
      </x:c>
      <x:c r="E55" s="8" t="str">
        <x:v>кг</x:v>
      </x:c>
      <x:c r="F55" s="11" t="n">
        <x:v>47.24553</x:v>
      </x:c>
      <x:c r="G55" s="12" t="n">
        <x:v>1</x:v>
      </x:c>
      <x:c r="H55" s="11" t="n">
        <x:f>F55*G55</x:f>
        <x:v>47.24553</x:v>
      </x:c>
      <x:c r="I55" s="8" t="str">
        <x:v>Цена есть</x:v>
      </x:c>
      <x:c r="J55" s="10" t="n">
        <x:v>0</x:v>
      </x:c>
      <x:c r="K55" s="10" t="n">
        <x:v>1</x:v>
      </x:c>
      <x:c r="L55" s="10" t="n">
        <x:v>1</x:v>
      </x:c>
      <x:c r="M55" s="8" t="str">
        <x:v>Ресурс родительской работы</x:v>
      </x:c>
      <x:c r="N55" s="8" t="str">
        <x:v>1 - бл-во осн территрии - ЛСР.pdf</x:v>
      </x:c>
      <x:c r="O55" s="8" t="str">
        <x:v>кг</x:v>
      </x:c>
      <x:c r="P55" s="8" t="str">
        <x:v>Раздел 4. Устройство покрытия велодорожки</x:v>
      </x:c>
    </x:row>
    <x:row r="56" ht="39" customHeight="1">
      <x:c r="A56" s="13" t="str">
        <x:v>N014</x:v>
      </x:c>
      <x:c r="B56" s="13" t="str">
        <x:v>Асфальт и дорожная разметка</x:v>
      </x:c>
      <x:c r="C56" s="13" t="str">
        <x:v>30.2</x:v>
      </x:c>
      <x:c r="D56" s="13" t="str">
        <x:v>Стеклошарики световозвращающие для посыпки разметочных красок, фракция 100-600 мкм</x:v>
      </x:c>
      <x:c r="E56" s="13" t="str">
        <x:v>т</x:v>
      </x:c>
      <x:c r="F56" s="15" t="n">
        <x:v>0.0305655</x:v>
      </x:c>
      <x:c r="G56" s="16" t="n">
        <x:v>1</x:v>
      </x:c>
      <x:c r="H56" s="15" t="n">
        <x:f>F56*G56</x:f>
        <x:v>0.0305655</x:v>
      </x:c>
      <x:c r="I56" s="13" t="str">
        <x:v>Кандидаты</x:v>
      </x:c>
      <x:c r="J56" s="14" t="n">
        <x:v>1</x:v>
      </x:c>
      <x:c r="K56" s="14" t="n">
        <x:v>0</x:v>
      </x:c>
      <x:c r="L56" s="14" t="n">
        <x:v>1</x:v>
      </x:c>
      <x:c r="M56" s="13" t="str">
        <x:v>Ресурс родительской работы</x:v>
      </x:c>
      <x:c r="N56" s="13" t="str">
        <x:v>1 - бл-во осн территрии - ЛСР.pdf</x:v>
      </x:c>
      <x:c r="O56" s="13" t="str">
        <x:v>т</x:v>
      </x:c>
      <x:c r="P56" s="13" t="str">
        <x:v>Раздел 4. Устройство покрытия велодорожки</x:v>
      </x:c>
    </x:row>
    <x:row r="57" ht="54" customHeight="1">
      <x:c r="A57" s="8" t="str">
        <x:v>N107</x:v>
      </x:c>
      <x:c r="B57" s="8" t="str">
        <x:v>Мощение, бордюры и разметка</x:v>
      </x:c>
      <x:c r="C57" s="8" t="str">
        <x:v>31</x:v>
      </x:c>
      <x:c r="D57" s="8" t="str">
        <x:v>Нанесение линии горизонтальной дорожной разметки краской со световозвращающими элементами механизированным способом, шириной: 0,1 м, прерывистой, шаг 1:1 - разметка 1.7</x:v>
      </x:c>
      <x:c r="E57" s="8" t="str">
        <x:v>100 м2</x:v>
      </x:c>
      <x:c r="F57" s="11" t="n">
        <x:v>0.2205</x:v>
      </x:c>
      <x:c r="G57" s="12" t="n">
        <x:v>100</x:v>
      </x:c>
      <x:c r="H57" s="11" t="n">
        <x:f>F57*G57</x:f>
        <x:v>22.05</x:v>
      </x:c>
      <x:c r="I57" s="8" t="str">
        <x:v>Кандидаты</x:v>
      </x:c>
      <x:c r="J57" s="10" t="n">
        <x:v>1</x:v>
      </x:c>
      <x:c r="K57" s="10" t="n">
        <x:v>0</x:v>
      </x:c>
      <x:c r="L57" s="10" t="n">
        <x:v>1</x:v>
      </x:c>
      <x:c r="M57" s="8" t="str">
        <x:v>Работа с вложенными ресурсами</x:v>
      </x:c>
      <x:c r="N57" s="8" t="str">
        <x:v>1 - бл-во осн территрии - ЛСР.pdf</x:v>
      </x:c>
      <x:c r="O57" s="8" t="str">
        <x:v>м²</x:v>
      </x:c>
      <x:c r="P57" s="8" t="str">
        <x:v>Раздел 4. Устройство покрытия велодорожки</x:v>
      </x:c>
    </x:row>
    <x:row r="58" ht="54" customHeight="1">
      <x:c r="A58" s="13" t="str">
        <x:v>N015</x:v>
      </x:c>
      <x:c r="B58" s="13" t="str">
        <x:v>Асфальт и дорожная разметка</x:v>
      </x:c>
      <x:c r="C58" s="13" t="str">
        <x:v>31.1</x:v>
      </x:c>
      <x:c r="D58" s="13" t="str">
        <x:v>Краска для дорожной разметки автомобильных дорог, суспензия пигментов и наполнителей в акриловом сополимере с модифицирующими добавками, цвет белый</x:v>
      </x:c>
      <x:c r="E58" s="13" t="str">
        <x:v>кг</x:v>
      </x:c>
      <x:c r="F58" s="15" t="n">
        <x:v>11.92905</x:v>
      </x:c>
      <x:c r="G58" s="16" t="n">
        <x:v>1</x:v>
      </x:c>
      <x:c r="H58" s="15" t="n">
        <x:f>F58*G58</x:f>
        <x:v>11.92905</x:v>
      </x:c>
      <x:c r="I58" s="13" t="str">
        <x:v>Цена есть</x:v>
      </x:c>
      <x:c r="J58" s="14" t="n">
        <x:v>0</x:v>
      </x:c>
      <x:c r="K58" s="14" t="n">
        <x:v>1</x:v>
      </x:c>
      <x:c r="L58" s="14" t="n">
        <x:v>1</x:v>
      </x:c>
      <x:c r="M58" s="13" t="str">
        <x:v>Ресурс родительской работы</x:v>
      </x:c>
      <x:c r="N58" s="13" t="str">
        <x:v>1 - бл-во осн территрии - ЛСР.pdf</x:v>
      </x:c>
      <x:c r="O58" s="13" t="str">
        <x:v>кг</x:v>
      </x:c>
      <x:c r="P58" s="13" t="str">
        <x:v>Раздел 4. Устройство покрытия велодорожки</x:v>
      </x:c>
    </x:row>
    <x:row r="59" ht="39" customHeight="1">
      <x:c r="A59" s="8" t="str">
        <x:v>N014</x:v>
      </x:c>
      <x:c r="B59" s="8" t="str">
        <x:v>Асфальт и дорожная разметка</x:v>
      </x:c>
      <x:c r="C59" s="8" t="str">
        <x:v>31.2</x:v>
      </x:c>
      <x:c r="D59" s="8" t="str">
        <x:v>Стеклошарики световозвращающие для посыпки разметочных красок, фракция 100-600 мкм</x:v>
      </x:c>
      <x:c r="E59" s="8" t="str">
        <x:v>т</x:v>
      </x:c>
      <x:c r="F59" s="11" t="n">
        <x:v>0.0077175</x:v>
      </x:c>
      <x:c r="G59" s="12" t="n">
        <x:v>1</x:v>
      </x:c>
      <x:c r="H59" s="11" t="n">
        <x:f>F59*G59</x:f>
        <x:v>0.0077175</x:v>
      </x:c>
      <x:c r="I59" s="8" t="str">
        <x:v>Кандидаты</x:v>
      </x:c>
      <x:c r="J59" s="10" t="n">
        <x:v>1</x:v>
      </x:c>
      <x:c r="K59" s="10" t="n">
        <x:v>0</x:v>
      </x:c>
      <x:c r="L59" s="10" t="n">
        <x:v>1</x:v>
      </x:c>
      <x:c r="M59" s="8" t="str">
        <x:v>Ресурс родительской работы</x:v>
      </x:c>
      <x:c r="N59" s="8" t="str">
        <x:v>1 - бл-во осн территрии - ЛСР.pdf</x:v>
      </x:c>
      <x:c r="O59" s="8" t="str">
        <x:v>т</x:v>
      </x:c>
      <x:c r="P59" s="8" t="str">
        <x:v>Раздел 4. Устройство покрытия велодорожки</x:v>
      </x:c>
    </x:row>
    <x:row r="60" ht="39" customHeight="1">
      <x:c r="A60" s="13" t="str">
        <x:v>N106</x:v>
      </x:c>
      <x:c r="B60" s="13" t="str">
        <x:v>Мощение, бордюры и разметка</x:v>
      </x:c>
      <x:c r="C60" s="13" t="str">
        <x:v>32</x:v>
      </x:c>
      <x:c r="D60" s="13" t="str">
        <x:v>Нанесение горизонтальной дорожной разметки краской вручную: стрелы, буквы - разметка 1.18 и 1.23.3</x:v>
      </x:c>
      <x:c r="E60" s="13" t="str">
        <x:v>100 м2</x:v>
      </x:c>
      <x:c r="F60" s="15" t="n">
        <x:v>0.034</x:v>
      </x:c>
      <x:c r="G60" s="16" t="n">
        <x:v>100</x:v>
      </x:c>
      <x:c r="H60" s="15" t="n">
        <x:f>F60*G60</x:f>
        <x:v>3.4000000000000004</x:v>
      </x:c>
      <x:c r="I60" s="13" t="str">
        <x:v>Кандидаты</x:v>
      </x:c>
      <x:c r="J60" s="14" t="n">
        <x:v>1</x:v>
      </x:c>
      <x:c r="K60" s="14" t="n">
        <x:v>0</x:v>
      </x:c>
      <x:c r="L60" s="14" t="n">
        <x:v>1</x:v>
      </x:c>
      <x:c r="M60" s="13" t="str">
        <x:v>Работа с вложенными ресурсами</x:v>
      </x:c>
      <x:c r="N60" s="13" t="str">
        <x:v>1 - бл-во осн территрии - ЛСР.pdf</x:v>
      </x:c>
      <x:c r="O60" s="13" t="str">
        <x:v>м²</x:v>
      </x:c>
      <x:c r="P60" s="13" t="str">
        <x:v>Раздел 4. Устройство покрытия велодорожки</x:v>
      </x:c>
    </x:row>
    <x:row r="61" ht="54" customHeight="1">
      <x:c r="A61" s="8" t="str">
        <x:v>N015</x:v>
      </x:c>
      <x:c r="B61" s="8" t="str">
        <x:v>Асфальт и дорожная разметка</x:v>
      </x:c>
      <x:c r="C61" s="8" t="str">
        <x:v>32.1</x:v>
      </x:c>
      <x:c r="D61" s="8" t="str">
        <x:v>Краска для дорожной разметки автомобильных дорог, суспензия пигментов и наполнителей в акриловом сополимере с модифицирующими добавками, цвет белый</x:v>
      </x:c>
      <x:c r="E61" s="8" t="str">
        <x:v>кг</x:v>
      </x:c>
      <x:c r="F61" s="11" t="n">
        <x:v>2.023</x:v>
      </x:c>
      <x:c r="G61" s="12" t="n">
        <x:v>1</x:v>
      </x:c>
      <x:c r="H61" s="11" t="n">
        <x:f>F61*G61</x:f>
        <x:v>2.023</x:v>
      </x:c>
      <x:c r="I61" s="8" t="str">
        <x:v>Кандидаты</x:v>
      </x:c>
      <x:c r="J61" s="10" t="n">
        <x:v>1</x:v>
      </x:c>
      <x:c r="K61" s="10" t="n">
        <x:v>0</x:v>
      </x:c>
      <x:c r="L61" s="10" t="n">
        <x:v>1</x:v>
      </x:c>
      <x:c r="M61" s="8" t="str">
        <x:v>Ресурс родительской работы</x:v>
      </x:c>
      <x:c r="N61" s="8" t="str">
        <x:v>1 - бл-во осн территрии - ЛСР.pdf</x:v>
      </x:c>
      <x:c r="O61" s="8" t="str">
        <x:v>кг</x:v>
      </x:c>
      <x:c r="P61" s="8" t="str">
        <x:v>Раздел 4. Устройство покрытия велодорожки</x:v>
      </x:c>
    </x:row>
    <x:row r="62" ht="39" customHeight="1">
      <x:c r="A62" s="13" t="str">
        <x:v>N014</x:v>
      </x:c>
      <x:c r="B62" s="13" t="str">
        <x:v>Асфальт и дорожная разметка</x:v>
      </x:c>
      <x:c r="C62" s="13" t="str">
        <x:v>32.2</x:v>
      </x:c>
      <x:c r="D62" s="13" t="str">
        <x:v>Стеклошарики световозвращающие для посыпки разметочных красок, фракция 100-600 мкм</x:v>
      </x:c>
      <x:c r="E62" s="13" t="str">
        <x:v>т</x:v>
      </x:c>
      <x:c r="F62" s="15" t="n">
        <x:v>0.00119</x:v>
      </x:c>
      <x:c r="G62" s="16" t="n">
        <x:v>1</x:v>
      </x:c>
      <x:c r="H62" s="15" t="n">
        <x:f>F62*G62</x:f>
        <x:v>0.00119</x:v>
      </x:c>
      <x:c r="I62" s="13" t="str">
        <x:v>Кандидаты</x:v>
      </x:c>
      <x:c r="J62" s="14" t="n">
        <x:v>1</x:v>
      </x:c>
      <x:c r="K62" s="14" t="n">
        <x:v>0</x:v>
      </x:c>
      <x:c r="L62" s="14" t="n">
        <x:v>1</x:v>
      </x:c>
      <x:c r="M62" s="13" t="str">
        <x:v>Ресурс родительской работы</x:v>
      </x:c>
      <x:c r="N62" s="13" t="str">
        <x:v>1 - бл-во осн территрии - ЛСР.pdf</x:v>
      </x:c>
      <x:c r="O62" s="13" t="str">
        <x:v>т</x:v>
      </x:c>
      <x:c r="P62" s="13" t="str">
        <x:v>Раздел 4. Устройство покрытия велодорожки</x:v>
      </x:c>
    </x:row>
    <x:row r="63" ht="39" customHeight="1">
      <x:c r="A63" s="8" t="str">
        <x:v>N092</x:v>
      </x:c>
      <x:c r="B63" s="8" t="str">
        <x:v>Земляные работы</x:v>
      </x:c>
      <x:c r="C63" s="8" t="str">
        <x:v>33</x:v>
      </x:c>
      <x:c r="D63" s="8" t="str">
        <x:v>Разработка грунта с перемещением до 10 м бульдозерами мощностью: 59 кВт (80 л.с.), группа грунтов 1</x:v>
      </x:c>
      <x:c r="E63" s="8" t="str">
        <x:v>1000 м3</x:v>
      </x:c>
      <x:c r="F63" s="11" t="n">
        <x:v>0.04808</x:v>
      </x:c>
      <x:c r="G63" s="12" t="n">
        <x:v>1000</x:v>
      </x:c>
      <x:c r="H63" s="11" t="n">
        <x:f>F63*G63</x:f>
        <x:v>48.08</x:v>
      </x:c>
      <x:c r="I63" s="8" t="str">
        <x:v>Кандидаты</x:v>
      </x:c>
      <x:c r="J63" s="10" t="n">
        <x:v>1</x:v>
      </x:c>
      <x:c r="K63" s="10" t="n">
        <x:v>0</x:v>
      </x:c>
      <x:c r="L63" s="10" t="n">
        <x:v>1</x:v>
      </x:c>
      <x:c r="M63" s="8" t="str">
        <x:v>Основная строка</x:v>
      </x:c>
      <x:c r="N63" s="8" t="str">
        <x:v>1 - бл-во осн территрии - ЛСР.pdf</x:v>
      </x:c>
      <x:c r="O63" s="8" t="str">
        <x:v>м³</x:v>
      </x:c>
      <x:c r="P63" s="8" t="str">
        <x:v>Раздел 5. Укрепление откосов</x:v>
      </x:c>
    </x:row>
    <x:row r="64" ht="39" customHeight="1">
      <x:c r="A64" s="13" t="str"/>
      <x:c r="B64" s="13" t="str">
        <x:v>Расчётные и корректирующие строки</x:v>
      </x:c>
      <x:c r="C64" s="13" t="str">
        <x:v>34</x:v>
      </x:c>
      <x:c r="D64" s="13" t="str">
        <x:v>При перемещении грунта на каждые последующие 10 м добавлять: к норме 01-01-030-01</x:v>
      </x:c>
      <x:c r="E64" s="13" t="str">
        <x:v>1000 м3</x:v>
      </x:c>
      <x:c r="F64" s="15" t="n">
        <x:v>0.04808</x:v>
      </x:c>
      <x:c r="G64" s="16" t="n">
        <x:v>1000</x:v>
      </x:c>
      <x:c r="H64" s="15" t="n">
        <x:f>F64*G64</x:f>
        <x:v>48.08</x:v>
      </x:c>
      <x:c r="I64" s="13" t="str">
        <x:v>Не искать отдельно</x:v>
      </x:c>
      <x:c r="J64" s="14" t="n">
        <x:v>0</x:v>
      </x:c>
      <x:c r="K64" s="14" t="n">
        <x:v>0</x:v>
      </x:c>
      <x:c r="L64" s="14" t="n">
        <x:v>0</x:v>
      </x:c>
      <x:c r="M64" s="13" t="str">
        <x:v>Основная строка</x:v>
      </x:c>
      <x:c r="N64" s="13" t="str">
        <x:v>1 - бл-во осн территрии - ЛСР.pdf</x:v>
      </x:c>
      <x:c r="O64" s="13" t="str">
        <x:v>м³</x:v>
      </x:c>
      <x:c r="P64" s="13" t="str">
        <x:v>Раздел 5. Укрепление откосов</x:v>
      </x:c>
    </x:row>
    <x:row r="65" ht="39" customHeight="1">
      <x:c r="A65" s="8" t="str">
        <x:v>N097</x:v>
      </x:c>
      <x:c r="B65" s="8" t="str">
        <x:v>Погрузка и перевозка</x:v>
      </x:c>
      <x:c r="C65" s="8" t="str">
        <x:v>35</x:v>
      </x:c>
      <x:c r="D65" s="8" t="str">
        <x:v>Погрузка в автотранспортное средство: грунт растительного слоя (земля, перегной)</x:v>
      </x:c>
      <x:c r="E65" s="8" t="str">
        <x:v>1т груза</x:v>
      </x:c>
      <x:c r="F65" s="11" t="n">
        <x:v>67.31</x:v>
      </x:c>
      <x:c r="G65" s="12" t="n">
        <x:v>1</x:v>
      </x:c>
      <x:c r="H65" s="11" t="n">
        <x:f>F65*G65</x:f>
        <x:v>67.31</x:v>
      </x:c>
      <x:c r="I65" s="8" t="str">
        <x:v>Кандидаты</x:v>
      </x:c>
      <x:c r="J65" s="10" t="n">
        <x:v>1</x:v>
      </x:c>
      <x:c r="K65" s="10" t="n">
        <x:v>0</x:v>
      </x:c>
      <x:c r="L65" s="10" t="n">
        <x:v>1</x:v>
      </x:c>
      <x:c r="M65" s="8" t="str">
        <x:v>Основная строка</x:v>
      </x:c>
      <x:c r="N65" s="8" t="str">
        <x:v>1 - бл-во осн территрии - ЛСР.pdf</x:v>
      </x:c>
      <x:c r="O65" s="8" t="str">
        <x:v>т груза</x:v>
      </x:c>
      <x:c r="P65" s="8" t="str">
        <x:v>Раздел 5. Укрепление откосов</x:v>
      </x:c>
    </x:row>
    <x:row r="66" ht="69" customHeight="1">
      <x:c r="A66" s="13" t="str">
        <x:v>N096</x:v>
      </x:c>
      <x:c r="B66" s="13" t="str">
        <x:v>Погрузка и перевозка</x:v>
      </x:c>
      <x:c r="C66" s="13" t="str">
        <x:v>36</x:v>
      </x:c>
      <x:c r="D66" s="13" t="str">
        <x:v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x:v>
      </x:c>
      <x:c r="E66" s="13" t="str">
        <x:v>1т груза</x:v>
      </x:c>
      <x:c r="F66" s="15" t="n">
        <x:v>67.31</x:v>
      </x:c>
      <x:c r="G66" s="16" t="n">
        <x:v>1</x:v>
      </x:c>
      <x:c r="H66" s="15" t="n">
        <x:f>F66*G66</x:f>
        <x:v>67.31</x:v>
      </x:c>
      <x:c r="I66" s="13" t="str">
        <x:v>Кандидаты</x:v>
      </x:c>
      <x:c r="J66" s="14" t="n">
        <x:v>1</x:v>
      </x:c>
      <x:c r="K66" s="14" t="n">
        <x:v>0</x:v>
      </x:c>
      <x:c r="L66" s="14" t="n">
        <x:v>1</x:v>
      </x:c>
      <x:c r="M66" s="13" t="str">
        <x:v>Основная строка</x:v>
      </x:c>
      <x:c r="N66" s="13" t="str">
        <x:v>1 - бл-во осн территрии - ЛСР.pdf</x:v>
      </x:c>
      <x:c r="O66" s="13" t="str">
        <x:v>т груза</x:v>
      </x:c>
      <x:c r="P66" s="13" t="str">
        <x:v>Раздел 5. Укрепление откосов</x:v>
      </x:c>
    </x:row>
    <x:row r="67" ht="39" customHeight="1">
      <x:c r="A67" s="8" t="str">
        <x:v>N098</x:v>
      </x:c>
      <x:c r="B67" s="8" t="str">
        <x:v>Основания, бетон и геоматериалы</x:v>
      </x:c>
      <x:c r="C67" s="8" t="str">
        <x:v>37</x:v>
      </x:c>
      <x:c r="D67" s="8" t="str">
        <x:v>Устройство прослойки из нетканого синтетического материала (НСМ) в земляном полотне: сплошной</x:v>
      </x:c>
      <x:c r="E67" s="8" t="str">
        <x:v>1000 м2</x:v>
      </x:c>
      <x:c r="F67" s="11" t="n">
        <x:v>0.4808</x:v>
      </x:c>
      <x:c r="G67" s="12" t="n">
        <x:v>1000</x:v>
      </x:c>
      <x:c r="H67" s="11" t="n">
        <x:f>F67*G67</x:f>
        <x:v>480.8</x:v>
      </x:c>
      <x:c r="I67" s="8" t="str">
        <x:v>Кандидаты</x:v>
      </x:c>
      <x:c r="J67" s="10" t="n">
        <x:v>1</x:v>
      </x:c>
      <x:c r="K67" s="10" t="n">
        <x:v>0</x:v>
      </x:c>
      <x:c r="L67" s="10" t="n">
        <x:v>1</x:v>
      </x:c>
      <x:c r="M67" s="8" t="str">
        <x:v>Работа с вложенными ресурсами</x:v>
      </x:c>
      <x:c r="N67" s="8" t="str">
        <x:v>1 - бл-во осн территрии - ЛСР.pdf</x:v>
      </x:c>
      <x:c r="O67" s="8" t="str">
        <x:v>м²</x:v>
      </x:c>
      <x:c r="P67" s="8" t="str">
        <x:v>Раздел 5. Укрепление откосов</x:v>
      </x:c>
    </x:row>
    <x:row r="68" ht="39" customHeight="1">
      <x:c r="A68" s="13" t="str">
        <x:v>N019</x:v>
      </x:c>
      <x:c r="B68" s="13" t="str">
        <x:v>Геоматериалы и газонные семена</x:v>
      </x:c>
      <x:c r="C68" s="13" t="str">
        <x:v>37.1</x:v>
      </x:c>
      <x:c r="D68" s="13" t="str">
        <x:v>Геополотно нетканое полиэфирное, иглопробивное, поверхностная плотность 200 г/м2</x:v>
      </x:c>
      <x:c r="E68" s="13" t="str">
        <x:v>м2</x:v>
      </x:c>
      <x:c r="F68" s="15" t="n">
        <x:v>528.88</x:v>
      </x:c>
      <x:c r="G68" s="16" t="n">
        <x:v>1</x:v>
      </x:c>
      <x:c r="H68" s="15" t="n">
        <x:f>F68*G68</x:f>
        <x:v>528.88</x:v>
      </x:c>
      <x:c r="I68" s="13" t="str">
        <x:v>Цена есть</x:v>
      </x:c>
      <x:c r="J68" s="14" t="n">
        <x:v>0</x:v>
      </x:c>
      <x:c r="K68" s="14" t="n">
        <x:v>1</x:v>
      </x:c>
      <x:c r="L68" s="14" t="n">
        <x:v>1</x:v>
      </x:c>
      <x:c r="M68" s="13" t="str">
        <x:v>Ресурс родительской работы</x:v>
      </x:c>
      <x:c r="N68" s="13" t="str">
        <x:v>1 - бл-во осн территрии - ЛСР.pdf</x:v>
      </x:c>
      <x:c r="O68" s="13" t="str">
        <x:v>м²</x:v>
      </x:c>
      <x:c r="P68" s="13" t="str">
        <x:v>Раздел 5. Укрепление откосов</x:v>
      </x:c>
    </x:row>
    <x:row r="69" ht="39" customHeight="1">
      <x:c r="A69" s="8" t="str">
        <x:v>N102</x:v>
      </x:c>
      <x:c r="B69" s="8" t="str">
        <x:v>Основания, бетон и геоматериалы</x:v>
      </x:c>
      <x:c r="C69" s="8" t="str">
        <x:v>38</x:v>
      </x:c>
      <x:c r="D69" s="8" t="str">
        <x:v>Армирование грунтовых насыпей георешетками</x:v>
      </x:c>
      <x:c r="E69" s="8" t="str">
        <x:v>1000 м2</x:v>
      </x:c>
      <x:c r="F69" s="11" t="n">
        <x:v>0.4808</x:v>
      </x:c>
      <x:c r="G69" s="12" t="n">
        <x:v>1000</x:v>
      </x:c>
      <x:c r="H69" s="11" t="n">
        <x:f>F69*G69</x:f>
        <x:v>480.8</x:v>
      </x:c>
      <x:c r="I69" s="8" t="str">
        <x:v>Кандидаты</x:v>
      </x:c>
      <x:c r="J69" s="10" t="n">
        <x:v>1</x:v>
      </x:c>
      <x:c r="K69" s="10" t="n">
        <x:v>0</x:v>
      </x:c>
      <x:c r="L69" s="10" t="n">
        <x:v>1</x:v>
      </x:c>
      <x:c r="M69" s="8" t="str">
        <x:v>Основная строка</x:v>
      </x:c>
      <x:c r="N69" s="8" t="str">
        <x:v>1 - бл-во осн территрии - ЛСР.pdf</x:v>
      </x:c>
      <x:c r="O69" s="8" t="str">
        <x:v>м²</x:v>
      </x:c>
      <x:c r="P69" s="8" t="str">
        <x:v>Раздел 5. Укрепление откосов</x:v>
      </x:c>
    </x:row>
    <x:row r="70" ht="54" customHeight="1">
      <x:c r="A70" s="13" t="str">
        <x:v>N018</x:v>
      </x:c>
      <x:c r="B70" s="13" t="str">
        <x:v>Геоматериалы и газонные семена</x:v>
      </x:c>
      <x:c r="C70" s="13" t="str">
        <x:v>39</x:v>
      </x:c>
      <x:c r="D70" s="13" t="str">
        <x:v>Георешетка нетканая композитная синтетическая, прочность при растяжении 80/15 кН/м - Георешетка объемная из полиэтиленовых лент, размеры ячейки 210х210 мм, высота ячейки 150 мм</x:v>
      </x:c>
      <x:c r="E70" s="13" t="str">
        <x:v>м2</x:v>
      </x:c>
      <x:c r="F70" s="15" t="n">
        <x:v>496.95488</x:v>
      </x:c>
      <x:c r="G70" s="16" t="n">
        <x:v>1</x:v>
      </x:c>
      <x:c r="H70" s="15" t="n">
        <x:f>F70*G70</x:f>
        <x:v>496.95488</x:v>
      </x:c>
      <x:c r="I70" s="13" t="str">
        <x:v>Кандидаты</x:v>
      </x:c>
      <x:c r="J70" s="14" t="n">
        <x:v>1</x:v>
      </x:c>
      <x:c r="K70" s="14" t="n">
        <x:v>0</x:v>
      </x:c>
      <x:c r="L70" s="14" t="n">
        <x:v>1</x:v>
      </x:c>
      <x:c r="M70" s="13" t="str">
        <x:v>Основная строка</x:v>
      </x:c>
      <x:c r="N70" s="13" t="str">
        <x:v>1 - бл-во осн территрии - ЛСР.pdf</x:v>
      </x:c>
      <x:c r="O70" s="13" t="str">
        <x:v>м²</x:v>
      </x:c>
      <x:c r="P70" s="13" t="str">
        <x:v>Раздел 5. Укрепление откосов</x:v>
      </x:c>
    </x:row>
    <x:row r="71" ht="36" customHeight="1">
      <x:c r="A71" s="8" t="str">
        <x:v>N087</x:v>
      </x:c>
      <x:c r="B71" s="8" t="str">
        <x:v>Земляные работы</x:v>
      </x:c>
      <x:c r="C71" s="8" t="str">
        <x:v>40</x:v>
      </x:c>
      <x:c r="D71" s="8" t="str">
        <x:v>Планировка площадей: ручным способом, группа грунтов 1</x:v>
      </x:c>
      <x:c r="E71" s="8" t="str">
        <x:v>1000 м2</x:v>
      </x:c>
      <x:c r="F71" s="11" t="n">
        <x:v>0.4808</x:v>
      </x:c>
      <x:c r="G71" s="12" t="n">
        <x:v>1000</x:v>
      </x:c>
      <x:c r="H71" s="11" t="n">
        <x:f>F71*G71</x:f>
        <x:v>480.8</x:v>
      </x:c>
      <x:c r="I71" s="8" t="str">
        <x:v>Кандидаты</x:v>
      </x:c>
      <x:c r="J71" s="10" t="n">
        <x:v>1</x:v>
      </x:c>
      <x:c r="K71" s="10" t="n">
        <x:v>0</x:v>
      </x:c>
      <x:c r="L71" s="10" t="n">
        <x:v>1</x:v>
      </x:c>
      <x:c r="M71" s="8" t="str">
        <x:v>Основная строка</x:v>
      </x:c>
      <x:c r="N71" s="8" t="str">
        <x:v>1 - бл-во осн территрии - ЛСР.pdf</x:v>
      </x:c>
      <x:c r="O71" s="8" t="str">
        <x:v>м²</x:v>
      </x:c>
      <x:c r="P71" s="8" t="str">
        <x:v>Раздел 5. Укрепление откосов</x:v>
      </x:c>
    </x:row>
    <x:row r="72" ht="39" customHeight="1">
      <x:c r="A72" s="13" t="str">
        <x:v>N003</x:v>
      </x:c>
      <x:c r="B72" s="13" t="str">
        <x:v>Сыпучие материалы и грунт</x:v>
      </x:c>
      <x:c r="C72" s="13" t="str">
        <x:v>41</x:v>
      </x:c>
      <x:c r="D72" s="13" t="str">
        <x:v>Земля растительная</x:v>
      </x:c>
      <x:c r="E72" s="13" t="str">
        <x:v>м3</x:v>
      </x:c>
      <x:c r="F72" s="15" t="n">
        <x:v>48.08</x:v>
      </x:c>
      <x:c r="G72" s="16" t="n">
        <x:v>1</x:v>
      </x:c>
      <x:c r="H72" s="15" t="n">
        <x:f>F72*G72</x:f>
        <x:v>48.08</x:v>
      </x:c>
      <x:c r="I72" s="13" t="str">
        <x:v>Кандидаты</x:v>
      </x:c>
      <x:c r="J72" s="14" t="n">
        <x:v>1</x:v>
      </x:c>
      <x:c r="K72" s="14" t="n">
        <x:v>0</x:v>
      </x:c>
      <x:c r="L72" s="14" t="n">
        <x:v>1</x:v>
      </x:c>
      <x:c r="M72" s="13" t="str">
        <x:v>Основная строка</x:v>
      </x:c>
      <x:c r="N72" s="13" t="str">
        <x:v>1 - бл-во осн территрии - ЛСР.pdf</x:v>
      </x:c>
      <x:c r="O72" s="13" t="str">
        <x:v>м³</x:v>
      </x:c>
      <x:c r="P72" s="13" t="str">
        <x:v>Раздел 5. Укрепление откосов</x:v>
      </x:c>
    </x:row>
    <x:row r="73" ht="39" customHeight="1">
      <x:c r="A73" s="8" t="str">
        <x:v>N114</x:v>
      </x:c>
      <x:c r="B73" s="8" t="str">
        <x:v>Посев газонов</x:v>
      </x:c>
      <x:c r="C73" s="8" t="str">
        <x:v>42</x:v>
      </x:c>
      <x:c r="D73" s="8" t="str">
        <x:v>Посев газонов партерных, мавританских и обыкновенных вручную</x:v>
      </x:c>
      <x:c r="E73" s="8" t="str">
        <x:v>100 м2</x:v>
      </x:c>
      <x:c r="F73" s="11" t="n">
        <x:v>4.808</x:v>
      </x:c>
      <x:c r="G73" s="12" t="n">
        <x:v>100</x:v>
      </x:c>
      <x:c r="H73" s="11" t="n">
        <x:f>F73*G73</x:f>
        <x:v>480.79999999999995</x:v>
      </x:c>
      <x:c r="I73" s="8" t="str">
        <x:v>Кандидаты</x:v>
      </x:c>
      <x:c r="J73" s="10" t="n">
        <x:v>1</x:v>
      </x:c>
      <x:c r="K73" s="10" t="n">
        <x:v>0</x:v>
      </x:c>
      <x:c r="L73" s="10" t="n">
        <x:v>1</x:v>
      </x:c>
      <x:c r="M73" s="8" t="str">
        <x:v>Работа с вложенными ресурсами</x:v>
      </x:c>
      <x:c r="N73" s="8" t="str">
        <x:v>1 - бл-во осн территрии - ЛСР.pdf</x:v>
      </x:c>
      <x:c r="O73" s="8" t="str">
        <x:v>м²</x:v>
      </x:c>
      <x:c r="P73" s="8" t="str">
        <x:v>Раздел 5. Укрепление откосов</x:v>
      </x:c>
    </x:row>
    <x:row r="74" ht="39" customHeight="1">
      <x:c r="A74" s="13" t="str">
        <x:v>N020</x:v>
      </x:c>
      <x:c r="B74" s="13" t="str">
        <x:v>Геоматериалы и газонные семена</x:v>
      </x:c>
      <x:c r="C74" s="13" t="str">
        <x:v>42.1</x:v>
      </x:c>
      <x:c r="D74" s="13" t="str">
        <x:v>Семена газонной травы, травосмесь «Универсальная»</x:v>
      </x:c>
      <x:c r="E74" s="13" t="str">
        <x:v>кг</x:v>
      </x:c>
      <x:c r="F74" s="15" t="n">
        <x:v>9.616</x:v>
      </x:c>
      <x:c r="G74" s="16" t="n">
        <x:v>1</x:v>
      </x:c>
      <x:c r="H74" s="15" t="n">
        <x:f>F74*G74</x:f>
        <x:v>9.616</x:v>
      </x:c>
      <x:c r="I74" s="13" t="str">
        <x:v>Цена есть</x:v>
      </x:c>
      <x:c r="J74" s="14" t="n">
        <x:v>0</x:v>
      </x:c>
      <x:c r="K74" s="14" t="n">
        <x:v>1</x:v>
      </x:c>
      <x:c r="L74" s="14" t="n">
        <x:v>1</x:v>
      </x:c>
      <x:c r="M74" s="13" t="str">
        <x:v>Ресурс родительской работы</x:v>
      </x:c>
      <x:c r="N74" s="13" t="str">
        <x:v>1 - бл-во осн территрии - ЛСР.pdf</x:v>
      </x:c>
      <x:c r="O74" s="13" t="str">
        <x:v>кг</x:v>
      </x:c>
      <x:c r="P74" s="13" t="str">
        <x:v>Раздел 5. Укрепление откосов</x:v>
      </x:c>
    </x:row>
    <x:row r="75" ht="36" customHeight="1">
      <x:c r="A75" s="8" t="str">
        <x:v>N087</x:v>
      </x:c>
      <x:c r="B75" s="8" t="str">
        <x:v>Земляные работы</x:v>
      </x:c>
      <x:c r="C75" s="8" t="str">
        <x:v>43</x:v>
      </x:c>
      <x:c r="D75" s="8" t="str">
        <x:v>Планировка площадей: ручным способом, группа грунтов 1</x:v>
      </x:c>
      <x:c r="E75" s="8" t="str">
        <x:v>1000 м2</x:v>
      </x:c>
      <x:c r="F75" s="11" t="n">
        <x:v>1.53678</x:v>
      </x:c>
      <x:c r="G75" s="12" t="n">
        <x:v>1000</x:v>
      </x:c>
      <x:c r="H75" s="11" t="n">
        <x:f>F75*G75</x:f>
        <x:v>1536.78</x:v>
      </x:c>
      <x:c r="I75" s="8" t="str">
        <x:v>Цена не найдена</x:v>
      </x:c>
      <x:c r="J75" s="10" t="n">
        <x:v>1</x:v>
      </x:c>
      <x:c r="K75" s="10" t="n">
        <x:v>0</x:v>
      </x:c>
      <x:c r="L75" s="10" t="n">
        <x:v>1</x:v>
      </x:c>
      <x:c r="M75" s="8" t="str">
        <x:v>Основная строка</x:v>
      </x:c>
      <x:c r="N75" s="8" t="str">
        <x:v>1 - бл-во осн территрии - ЛСР.pdf</x:v>
      </x:c>
      <x:c r="O75" s="8" t="str">
        <x:v>м²</x:v>
      </x:c>
      <x:c r="P75" s="8" t="str">
        <x:v>Раздел 6. Газоны</x:v>
      </x:c>
    </x:row>
    <x:row r="76" ht="39" customHeight="1">
      <x:c r="A76" s="13" t="str">
        <x:v>N090</x:v>
      </x:c>
      <x:c r="B76" s="13" t="str">
        <x:v>Земляные работы</x:v>
      </x:c>
      <x:c r="C76" s="13" t="str">
        <x:v>44</x:v>
      </x:c>
      <x:c r="D76" s="13" t="str">
        <x:v>Планировка площадей: механизированным способом, группа грунтов 1</x:v>
      </x:c>
      <x:c r="E76" s="13" t="str">
        <x:v>1000 м2</x:v>
      </x:c>
      <x:c r="F76" s="15" t="n">
        <x:v>3.58582</x:v>
      </x:c>
      <x:c r="G76" s="16" t="n">
        <x:v>1000</x:v>
      </x:c>
      <x:c r="H76" s="15" t="n">
        <x:f>F76*G76</x:f>
        <x:v>3585.82</x:v>
      </x:c>
      <x:c r="I76" s="13" t="str">
        <x:v>Кандидаты</x:v>
      </x:c>
      <x:c r="J76" s="14" t="n">
        <x:v>1</x:v>
      </x:c>
      <x:c r="K76" s="14" t="n">
        <x:v>0</x:v>
      </x:c>
      <x:c r="L76" s="14" t="n">
        <x:v>1</x:v>
      </x:c>
      <x:c r="M76" s="13" t="str">
        <x:v>Основная строка</x:v>
      </x:c>
      <x:c r="N76" s="13" t="str">
        <x:v>1 - бл-во осн территрии - ЛСР.pdf</x:v>
      </x:c>
      <x:c r="O76" s="13" t="str">
        <x:v>м²</x:v>
      </x:c>
      <x:c r="P76" s="13" t="str">
        <x:v>Раздел 6. Газоны</x:v>
      </x:c>
    </x:row>
    <x:row r="77" ht="39" customHeight="1">
      <x:c r="A77" s="8" t="str">
        <x:v>N003</x:v>
      </x:c>
      <x:c r="B77" s="8" t="str">
        <x:v>Сыпучие материалы и грунт</x:v>
      </x:c>
      <x:c r="C77" s="8" t="str">
        <x:v>45</x:v>
      </x:c>
      <x:c r="D77" s="8" t="str">
        <x:v>Земля растительная</x:v>
      </x:c>
      <x:c r="E77" s="8" t="str">
        <x:v>м3</x:v>
      </x:c>
      <x:c r="F77" s="11" t="n">
        <x:v>512.26</x:v>
      </x:c>
      <x:c r="G77" s="12" t="n">
        <x:v>1</x:v>
      </x:c>
      <x:c r="H77" s="11" t="n">
        <x:f>F77*G77</x:f>
        <x:v>512.26</x:v>
      </x:c>
      <x:c r="I77" s="8" t="str">
        <x:v>Кандидаты</x:v>
      </x:c>
      <x:c r="J77" s="10" t="n">
        <x:v>1</x:v>
      </x:c>
      <x:c r="K77" s="10" t="n">
        <x:v>0</x:v>
      </x:c>
      <x:c r="L77" s="10" t="n">
        <x:v>1</x:v>
      </x:c>
      <x:c r="M77" s="8" t="str">
        <x:v>Основная строка</x:v>
      </x:c>
      <x:c r="N77" s="8" t="str">
        <x:v>1 - бл-во осн территрии - ЛСР.pdf</x:v>
      </x:c>
      <x:c r="O77" s="8" t="str">
        <x:v>м³</x:v>
      </x:c>
      <x:c r="P77" s="8" t="str">
        <x:v>Раздел 6. Газоны</x:v>
      </x:c>
    </x:row>
    <x:row r="78" ht="39" customHeight="1">
      <x:c r="A78" s="13" t="str">
        <x:v>N114</x:v>
      </x:c>
      <x:c r="B78" s="13" t="str">
        <x:v>Посев газонов</x:v>
      </x:c>
      <x:c r="C78" s="13" t="str">
        <x:v>46</x:v>
      </x:c>
      <x:c r="D78" s="13" t="str">
        <x:v>Посев газонов партерных, мавританских и обыкновенных вручную</x:v>
      </x:c>
      <x:c r="E78" s="13" t="str">
        <x:v>100 м2</x:v>
      </x:c>
      <x:c r="F78" s="15" t="n">
        <x:v>51.226</x:v>
      </x:c>
      <x:c r="G78" s="16" t="n">
        <x:v>100</x:v>
      </x:c>
      <x:c r="H78" s="15" t="n">
        <x:f>F78*G78</x:f>
        <x:v>5122.6</x:v>
      </x:c>
      <x:c r="I78" s="13" t="str">
        <x:v>Кандидаты</x:v>
      </x:c>
      <x:c r="J78" s="14" t="n">
        <x:v>1</x:v>
      </x:c>
      <x:c r="K78" s="14" t="n">
        <x:v>0</x:v>
      </x:c>
      <x:c r="L78" s="14" t="n">
        <x:v>1</x:v>
      </x:c>
      <x:c r="M78" s="13" t="str">
        <x:v>Работа с вложенными ресурсами</x:v>
      </x:c>
      <x:c r="N78" s="13" t="str">
        <x:v>1 - бл-во осн территрии - ЛСР.pdf</x:v>
      </x:c>
      <x:c r="O78" s="13" t="str">
        <x:v>м²</x:v>
      </x:c>
      <x:c r="P78" s="13" t="str">
        <x:v>Раздел 6. Газоны</x:v>
      </x:c>
    </x:row>
    <x:row r="79" ht="39" customHeight="1">
      <x:c r="A79" s="8" t="str">
        <x:v>N020</x:v>
      </x:c>
      <x:c r="B79" s="8" t="str">
        <x:v>Геоматериалы и газонные семена</x:v>
      </x:c>
      <x:c r="C79" s="8" t="str">
        <x:v>46.1</x:v>
      </x:c>
      <x:c r="D79" s="8" t="str">
        <x:v>Семена газонной травы, травосмесь «Универсальная»</x:v>
      </x:c>
      <x:c r="E79" s="8" t="str">
        <x:v>кг</x:v>
      </x:c>
      <x:c r="F79" s="11" t="n">
        <x:v>102.452</x:v>
      </x:c>
      <x:c r="G79" s="12" t="n">
        <x:v>1</x:v>
      </x:c>
      <x:c r="H79" s="11" t="n">
        <x:f>F79*G79</x:f>
        <x:v>102.452</x:v>
      </x:c>
      <x:c r="I79" s="8" t="str">
        <x:v>Цена есть</x:v>
      </x:c>
      <x:c r="J79" s="10" t="n">
        <x:v>0</x:v>
      </x:c>
      <x:c r="K79" s="10" t="n">
        <x:v>1</x:v>
      </x:c>
      <x:c r="L79" s="10" t="n">
        <x:v>1</x:v>
      </x:c>
      <x:c r="M79" s="8" t="str">
        <x:v>Ресурс родительской работы</x:v>
      </x:c>
      <x:c r="N79" s="8" t="str">
        <x:v>1 - бл-во осн территрии - ЛСР.pdf</x:v>
      </x:c>
      <x:c r="O79" s="8" t="str">
        <x:v>кг</x:v>
      </x:c>
      <x:c r="P79" s="8" t="str">
        <x:v>Раздел 6. Газоны</x:v>
      </x:c>
    </x:row>
    <x:row r="80" ht="39" customHeight="1">
      <x:c r="A80" s="13" t="str">
        <x:v>N089</x:v>
      </x:c>
      <x:c r="B80" s="13" t="str">
        <x:v>Земляные работы</x:v>
      </x:c>
      <x:c r="C80" s="13" t="str">
        <x:v>1</x:v>
      </x:c>
      <x:c r="D80" s="13" t="str">
        <x:v>Бурение ям глубиной до 2 м бурильно-крановыми машинами: на автомобиле, группа грунтов 2</x:v>
      </x:c>
      <x:c r="E80" s="13" t="str">
        <x:v>100 шт</x:v>
      </x:c>
      <x:c r="F80" s="15" t="n">
        <x:v>0.43</x:v>
      </x:c>
      <x:c r="G80" s="16" t="n">
        <x:v>100</x:v>
      </x:c>
      <x:c r="H80" s="15" t="n">
        <x:f>F80*G80</x:f>
        <x:v>43</x:v>
      </x:c>
      <x:c r="I80" s="13" t="str">
        <x:v>Кандидаты</x:v>
      </x:c>
      <x:c r="J80" s="14" t="n">
        <x:v>1</x:v>
      </x:c>
      <x:c r="K80" s="14" t="n">
        <x:v>0</x:v>
      </x:c>
      <x:c r="L80" s="14" t="n">
        <x:v>1</x:v>
      </x:c>
      <x:c r="M80" s="13" t="str">
        <x:v>Основная строка</x:v>
      </x:c>
      <x:c r="N80" s="13" t="str">
        <x:v>6 - Освещение (основное) - ЛСР.pdf</x:v>
      </x:c>
      <x:c r="O80" s="13" t="str">
        <x:v>шт</x:v>
      </x:c>
      <x:c r="P80" s="13" t="str">
        <x:v>Раздел 1. Общестроительные работы</x:v>
      </x:c>
    </x:row>
    <x:row r="81" ht="39" customHeight="1">
      <x:c r="A81" s="8" t="str">
        <x:v>N097</x:v>
      </x:c>
      <x:c r="B81" s="8" t="str">
        <x:v>Погрузка и перевозка</x:v>
      </x:c>
      <x:c r="C81" s="8" t="str">
        <x:v>2</x:v>
      </x:c>
      <x:c r="D81" s="8" t="str">
        <x:v>Погрузка в автотранспортное средство: грунт растительного слоя (земля, перегной)</x:v>
      </x:c>
      <x:c r="E81" s="8" t="str">
        <x:v>1т груза</x:v>
      </x:c>
      <x:c r="F81" s="11" t="n">
        <x:v>13.16</x:v>
      </x:c>
      <x:c r="G81" s="12" t="n">
        <x:v>1</x:v>
      </x:c>
      <x:c r="H81" s="11" t="n">
        <x:f>F81*G81</x:f>
        <x:v>13.16</x:v>
      </x:c>
      <x:c r="I81" s="8" t="str">
        <x:v>Кандидаты</x:v>
      </x:c>
      <x:c r="J81" s="10" t="n">
        <x:v>1</x:v>
      </x:c>
      <x:c r="K81" s="10" t="n">
        <x:v>0</x:v>
      </x:c>
      <x:c r="L81" s="10" t="n">
        <x:v>1</x:v>
      </x:c>
      <x:c r="M81" s="8" t="str">
        <x:v>Основная строка</x:v>
      </x:c>
      <x:c r="N81" s="8" t="str">
        <x:v>6 - Освещение (основное) - ЛСР.pdf</x:v>
      </x:c>
      <x:c r="O81" s="8" t="str">
        <x:v>т груза</x:v>
      </x:c>
      <x:c r="P81" s="8" t="str">
        <x:v>Раздел 1. Общестроительные работы</x:v>
      </x:c>
    </x:row>
    <x:row r="82" ht="69" customHeight="1">
      <x:c r="A82" s="13" t="str">
        <x:v>N096</x:v>
      </x:c>
      <x:c r="B82" s="13" t="str">
        <x:v>Погрузка и перевозка</x:v>
      </x:c>
      <x:c r="C82" s="13" t="str">
        <x:v>3</x:v>
      </x:c>
      <x:c r="D82" s="13" t="str">
        <x:v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x:v>
      </x:c>
      <x:c r="E82" s="13" t="str">
        <x:v>1т груза</x:v>
      </x:c>
      <x:c r="F82" s="15" t="n">
        <x:v>13.16</x:v>
      </x:c>
      <x:c r="G82" s="16" t="n">
        <x:v>1</x:v>
      </x:c>
      <x:c r="H82" s="15" t="n">
        <x:f>F82*G82</x:f>
        <x:v>13.16</x:v>
      </x:c>
      <x:c r="I82" s="13" t="str">
        <x:v>Кандидаты</x:v>
      </x:c>
      <x:c r="J82" s="14" t="n">
        <x:v>1</x:v>
      </x:c>
      <x:c r="K82" s="14" t="n">
        <x:v>0</x:v>
      </x:c>
      <x:c r="L82" s="14" t="n">
        <x:v>1</x:v>
      </x:c>
      <x:c r="M82" s="13" t="str">
        <x:v>Основная строка</x:v>
      </x:c>
      <x:c r="N82" s="13" t="str">
        <x:v>6 - Освещение (основное) - ЛСР.pdf</x:v>
      </x:c>
      <x:c r="O82" s="13" t="str">
        <x:v>т груза</x:v>
      </x:c>
      <x:c r="P82" s="13" t="str">
        <x:v>Раздел 1. Общестроительные работы</x:v>
      </x:c>
    </x:row>
    <x:row r="83" ht="39" customHeight="1">
      <x:c r="A83" s="8" t="str">
        <x:v>N104</x:v>
      </x:c>
      <x:c r="B83" s="8" t="str">
        <x:v>Основания, бетон и геоматериалы</x:v>
      </x:c>
      <x:c r="C83" s="8" t="str">
        <x:v>4</x:v>
      </x:c>
      <x:c r="D83" s="8" t="str">
        <x:v>Устройство основания под фундаменты: щебеночного</x:v>
      </x:c>
      <x:c r="E83" s="8" t="str">
        <x:v>м3</x:v>
      </x:c>
      <x:c r="F83" s="11" t="n">
        <x:v>0.56</x:v>
      </x:c>
      <x:c r="G83" s="12" t="n">
        <x:v>1</x:v>
      </x:c>
      <x:c r="H83" s="11" t="n">
        <x:f>F83*G83</x:f>
        <x:v>0.56</x:v>
      </x:c>
      <x:c r="I83" s="8" t="str">
        <x:v>Кандидаты</x:v>
      </x:c>
      <x:c r="J83" s="10" t="n">
        <x:v>1</x:v>
      </x:c>
      <x:c r="K83" s="10" t="n">
        <x:v>0</x:v>
      </x:c>
      <x:c r="L83" s="10" t="n">
        <x:v>1</x:v>
      </x:c>
      <x:c r="M83" s="8" t="str">
        <x:v>Работа с вложенными ресурсами</x:v>
      </x:c>
      <x:c r="N83" s="8" t="str">
        <x:v>6 - Освещение (основное) - ЛСР.pdf</x:v>
      </x:c>
      <x:c r="O83" s="8" t="str">
        <x:v>м³</x:v>
      </x:c>
      <x:c r="P83" s="8" t="str">
        <x:v>Раздел 1. Общестроительные работы</x:v>
      </x:c>
    </x:row>
    <x:row r="84" ht="39" customHeight="1">
      <x:c r="A84" s="13" t="str">
        <x:v>N002</x:v>
      </x:c>
      <x:c r="B84" s="13" t="str">
        <x:v>Сыпучие материалы и грунт</x:v>
      </x:c>
      <x:c r="C84" s="13" t="str">
        <x:v>4.1</x:v>
      </x:c>
      <x:c r="D84" s="13" t="str">
        <x:v>Щебень из плотных горных пород для строительных работ М 1200, фракция 20-40 мм</x:v>
      </x:c>
      <x:c r="E84" s="13" t="str">
        <x:v>м3</x:v>
      </x:c>
      <x:c r="F84" s="15" t="n">
        <x:v>0.644</x:v>
      </x:c>
      <x:c r="G84" s="16" t="n">
        <x:v>1</x:v>
      </x:c>
      <x:c r="H84" s="15" t="n">
        <x:f>F84*G84</x:f>
        <x:v>0.644</x:v>
      </x:c>
      <x:c r="I84" s="13" t="str">
        <x:v>Кандидаты</x:v>
      </x:c>
      <x:c r="J84" s="14" t="n">
        <x:v>1</x:v>
      </x:c>
      <x:c r="K84" s="14" t="n">
        <x:v>0</x:v>
      </x:c>
      <x:c r="L84" s="14" t="n">
        <x:v>1</x:v>
      </x:c>
      <x:c r="M84" s="13" t="str">
        <x:v>Ресурс родительской работы</x:v>
      </x:c>
      <x:c r="N84" s="13" t="str">
        <x:v>6 - Освещение (основное) - ЛСР.pdf</x:v>
      </x:c>
      <x:c r="O84" s="13" t="str">
        <x:v>м³</x:v>
      </x:c>
      <x:c r="P84" s="13" t="str">
        <x:v>Раздел 1. Общестроительные работы</x:v>
      </x:c>
    </x:row>
    <x:row r="85" ht="54" customHeight="1">
      <x:c r="A85" s="8" t="str">
        <x:v>N088</x:v>
      </x:c>
      <x:c r="B85" s="8" t="str">
        <x:v>Земляные работы</x:v>
      </x:c>
      <x:c r="C85" s="8" t="str">
        <x:v>5</x:v>
      </x:c>
      <x:c r="D85" s="8" t="str">
        <x:v>Разработка грунта с погрузкой на автомобили-самосвалы в траншеях экскаватором «обратная лопата» с ковшом вместимостью 0,25 м3, группа грунтов: 2</x:v>
      </x:c>
      <x:c r="E85" s="8" t="str">
        <x:v>1000 м3</x:v>
      </x:c>
      <x:c r="F85" s="11" t="n">
        <x:v>0.13366</x:v>
      </x:c>
      <x:c r="G85" s="12" t="n">
        <x:v>1000</x:v>
      </x:c>
      <x:c r="H85" s="11" t="n">
        <x:f>F85*G85</x:f>
        <x:v>133.66</x:v>
      </x:c>
      <x:c r="I85" s="8" t="str">
        <x:v>Кандидаты</x:v>
      </x:c>
      <x:c r="J85" s="10" t="n">
        <x:v>1</x:v>
      </x:c>
      <x:c r="K85" s="10" t="n">
        <x:v>0</x:v>
      </x:c>
      <x:c r="L85" s="10" t="n">
        <x:v>1</x:v>
      </x:c>
      <x:c r="M85" s="8" t="str">
        <x:v>Основная строка</x:v>
      </x:c>
      <x:c r="N85" s="8" t="str">
        <x:v>6 - Освещение (основное) - ЛСР.pdf</x:v>
      </x:c>
      <x:c r="O85" s="8" t="str">
        <x:v>м³</x:v>
      </x:c>
      <x:c r="P85" s="8" t="str">
        <x:v>Раздел 1. Общестроительные работы</x:v>
      </x:c>
    </x:row>
    <x:row r="86" ht="69" customHeight="1">
      <x:c r="A86" s="13" t="str">
        <x:v>N096</x:v>
      </x:c>
      <x:c r="B86" s="13" t="str">
        <x:v>Погрузка и перевозка</x:v>
      </x:c>
      <x:c r="C86" s="13" t="str">
        <x:v>6</x:v>
      </x:c>
      <x:c r="D86" s="13" t="str">
        <x:v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x:v>
      </x:c>
      <x:c r="E86" s="13" t="str">
        <x:v>1т груза</x:v>
      </x:c>
      <x:c r="F86" s="15" t="n">
        <x:v>187.12</x:v>
      </x:c>
      <x:c r="G86" s="16" t="n">
        <x:v>1</x:v>
      </x:c>
      <x:c r="H86" s="15" t="n">
        <x:f>F86*G86</x:f>
        <x:v>187.12</x:v>
      </x:c>
      <x:c r="I86" s="13" t="str">
        <x:v>Кандидаты</x:v>
      </x:c>
      <x:c r="J86" s="14" t="n">
        <x:v>1</x:v>
      </x:c>
      <x:c r="K86" s="14" t="n">
        <x:v>0</x:v>
      </x:c>
      <x:c r="L86" s="14" t="n">
        <x:v>1</x:v>
      </x:c>
      <x:c r="M86" s="13" t="str">
        <x:v>Основная строка</x:v>
      </x:c>
      <x:c r="N86" s="13" t="str">
        <x:v>6 - Освещение (основное) - ЛСР.pdf</x:v>
      </x:c>
      <x:c r="O86" s="13" t="str">
        <x:v>т груза</x:v>
      </x:c>
      <x:c r="P86" s="13" t="str">
        <x:v>Раздел 1. Общестроительные работы</x:v>
      </x:c>
    </x:row>
    <x:row r="87" ht="39" customHeight="1">
      <x:c r="A87" s="8" t="str">
        <x:v>N095</x:v>
      </x:c>
      <x:c r="B87" s="8" t="str">
        <x:v>Земляные работы</x:v>
      </x:c>
      <x:c r="C87" s="8" t="str">
        <x:v>7</x:v>
      </x:c>
      <x:c r="D87" s="8" t="str">
        <x:v>Разработка траншей экскаватором «обратная лопата» с ковшом вместимостью 0,25 м3, группа грунтов: 2</x:v>
      </x:c>
      <x:c r="E87" s="8" t="str">
        <x:v>1000 м3</x:v>
      </x:c>
      <x:c r="F87" s="11" t="n">
        <x:v>0.24074</x:v>
      </x:c>
      <x:c r="G87" s="12" t="n">
        <x:v>1000</x:v>
      </x:c>
      <x:c r="H87" s="11" t="n">
        <x:f>F87*G87</x:f>
        <x:v>240.74</x:v>
      </x:c>
      <x:c r="I87" s="8" t="str">
        <x:v>Кандидаты</x:v>
      </x:c>
      <x:c r="J87" s="10" t="n">
        <x:v>1</x:v>
      </x:c>
      <x:c r="K87" s="10" t="n">
        <x:v>0</x:v>
      </x:c>
      <x:c r="L87" s="10" t="n">
        <x:v>1</x:v>
      </x:c>
      <x:c r="M87" s="8" t="str">
        <x:v>Основная строка</x:v>
      </x:c>
      <x:c r="N87" s="8" t="str">
        <x:v>6 - Освещение (основное) - ЛСР.pdf</x:v>
      </x:c>
      <x:c r="O87" s="8" t="str">
        <x:v>м³</x:v>
      </x:c>
      <x:c r="P87" s="8" t="str">
        <x:v>Раздел 1. Общестроительные работы</x:v>
      </x:c>
    </x:row>
    <x:row r="88" ht="39" customHeight="1">
      <x:c r="A88" s="13" t="str">
        <x:v>N132</x:v>
      </x:c>
      <x:c r="B88" s="13" t="str">
        <x:v>Электромонтаж и наружное освещение</x:v>
      </x:c>
      <x:c r="C88" s="13" t="str">
        <x:v>8</x:v>
      </x:c>
      <x:c r="D88" s="13" t="str">
        <x:v>Установка стальных конструкций, остающихся в теле бетона</x:v>
      </x:c>
      <x:c r="E88" s="13" t="str">
        <x:v>т</x:v>
      </x:c>
      <x:c r="F88" s="15" t="n">
        <x:v>0.454</x:v>
      </x:c>
      <x:c r="G88" s="16" t="n">
        <x:v>1</x:v>
      </x:c>
      <x:c r="H88" s="15" t="n">
        <x:f>F88*G88</x:f>
        <x:v>0.454</x:v>
      </x:c>
      <x:c r="I88" s="13" t="str">
        <x:v>Кандидаты</x:v>
      </x:c>
      <x:c r="J88" s="14" t="n">
        <x:v>1</x:v>
      </x:c>
      <x:c r="K88" s="14" t="n">
        <x:v>0</x:v>
      </x:c>
      <x:c r="L88" s="14" t="n">
        <x:v>1</x:v>
      </x:c>
      <x:c r="M88" s="13" t="str">
        <x:v>Основная строка</x:v>
      </x:c>
      <x:c r="N88" s="13" t="str">
        <x:v>6 - Освещение (основное) - ЛСР.pdf</x:v>
      </x:c>
      <x:c r="O88" s="13" t="str">
        <x:v>т</x:v>
      </x:c>
      <x:c r="P88" s="13" t="str">
        <x:v>Раздел 1. Общестроительные работы</x:v>
      </x:c>
    </x:row>
    <x:row r="89" ht="39" customHeight="1">
      <x:c r="A89" s="8" t="str">
        <x:v>N103</x:v>
      </x:c>
      <x:c r="B89" s="8" t="str">
        <x:v>Основания, бетон и геоматериалы</x:v>
      </x:c>
      <x:c r="C89" s="8" t="str">
        <x:v>9</x:v>
      </x:c>
      <x:c r="D89" s="8" t="str">
        <x:v>Устройство бетонной подготовки</x:v>
      </x:c>
      <x:c r="E89" s="8" t="str">
        <x:v>100 м3</x:v>
      </x:c>
      <x:c r="F89" s="11" t="n">
        <x:v>0.0884</x:v>
      </x:c>
      <x:c r="G89" s="12" t="n">
        <x:v>100</x:v>
      </x:c>
      <x:c r="H89" s="11" t="n">
        <x:f>F89*G89</x:f>
        <x:v>8.84</x:v>
      </x:c>
      <x:c r="I89" s="8" t="str">
        <x:v>Кандидаты</x:v>
      </x:c>
      <x:c r="J89" s="10" t="n">
        <x:v>1</x:v>
      </x:c>
      <x:c r="K89" s="10" t="n">
        <x:v>0</x:v>
      </x:c>
      <x:c r="L89" s="10" t="n">
        <x:v>1</x:v>
      </x:c>
      <x:c r="M89" s="8" t="str">
        <x:v>Работа с вложенными ресурсами</x:v>
      </x:c>
      <x:c r="N89" s="8" t="str">
        <x:v>6 - Освещение (основное) - ЛСР.pdf</x:v>
      </x:c>
      <x:c r="O89" s="8" t="str">
        <x:v>м³</x:v>
      </x:c>
      <x:c r="P89" s="8" t="str">
        <x:v>Раздел 1. Общестроительные работы</x:v>
      </x:c>
    </x:row>
    <x:row r="90" ht="39" customHeight="1">
      <x:c r="A90" s="13" t="str">
        <x:v>N007</x:v>
      </x:c>
      <x:c r="B90" s="13" t="str">
        <x:v>Бетон и сухие смеси</x:v>
      </x:c>
      <x:c r="C90" s="13" t="str">
        <x:v>9.1</x:v>
      </x:c>
      <x:c r="D90" s="13" t="str">
        <x:v>Смеси бетонные тяжелого бетона (БСТ) на щебне из гравия, класс В20, F(1)150, W6</x:v>
      </x:c>
      <x:c r="E90" s="13" t="str">
        <x:v>м3</x:v>
      </x:c>
      <x:c r="F90" s="15" t="n">
        <x:v>9.0168</x:v>
      </x:c>
      <x:c r="G90" s="16" t="n">
        <x:v>1</x:v>
      </x:c>
      <x:c r="H90" s="15" t="n">
        <x:f>F90*G90</x:f>
        <x:v>9.0168</x:v>
      </x:c>
      <x:c r="I90" s="13" t="str">
        <x:v>Кандидаты</x:v>
      </x:c>
      <x:c r="J90" s="14" t="n">
        <x:v>1</x:v>
      </x:c>
      <x:c r="K90" s="14" t="n">
        <x:v>0</x:v>
      </x:c>
      <x:c r="L90" s="14" t="n">
        <x:v>1</x:v>
      </x:c>
      <x:c r="M90" s="13" t="str">
        <x:v>Ресурс родительской работы</x:v>
      </x:c>
      <x:c r="N90" s="13" t="str">
        <x:v>6 - Освещение (основное) - ЛСР.pdf</x:v>
      </x:c>
      <x:c r="O90" s="13" t="str">
        <x:v>м³</x:v>
      </x:c>
      <x:c r="P90" s="13" t="str">
        <x:v>Раздел 1. Общестроительные работы</x:v>
      </x:c>
    </x:row>
    <x:row r="91" ht="39" customHeight="1">
      <x:c r="A91" s="8" t="str">
        <x:v>N131</x:v>
      </x:c>
      <x:c r="B91" s="8" t="str">
        <x:v>Электромонтаж и наружное освещение</x:v>
      </x:c>
      <x:c r="C91" s="8" t="str">
        <x:v>10</x:v>
      </x:c>
      <x:c r="D91" s="8" t="str">
        <x:v>Установка опор наружного освещения металлических: фланцевых</x:v>
      </x:c>
      <x:c r="E91" s="8" t="str">
        <x:v>шт</x:v>
      </x:c>
      <x:c r="F91" s="11" t="n">
        <x:v>43</x:v>
      </x:c>
      <x:c r="G91" s="12" t="n">
        <x:v>1</x:v>
      </x:c>
      <x:c r="H91" s="11" t="n">
        <x:f>F91*G91</x:f>
        <x:v>43</x:v>
      </x:c>
      <x:c r="I91" s="8" t="str">
        <x:v>Цена не найдена</x:v>
      </x:c>
      <x:c r="J91" s="10" t="n">
        <x:v>1</x:v>
      </x:c>
      <x:c r="K91" s="10" t="n">
        <x:v>0</x:v>
      </x:c>
      <x:c r="L91" s="10" t="n">
        <x:v>1</x:v>
      </x:c>
      <x:c r="M91" s="8" t="str">
        <x:v>Основная строка</x:v>
      </x:c>
      <x:c r="N91" s="8" t="str">
        <x:v>6 - Освещение (основное) - ЛСР.pdf</x:v>
      </x:c>
      <x:c r="O91" s="8" t="str">
        <x:v>шт</x:v>
      </x:c>
      <x:c r="P91" s="8" t="str">
        <x:v>Раздел 1. Общестроительные работы</x:v>
      </x:c>
    </x:row>
    <x:row r="92" ht="39" customHeight="1">
      <x:c r="A92" s="13" t="str">
        <x:v>N134</x:v>
      </x:c>
      <x:c r="B92" s="13" t="str">
        <x:v>Электромонтаж и наружное освещение</x:v>
      </x:c>
      <x:c r="C92" s="13" t="str">
        <x:v>11</x:v>
      </x:c>
      <x:c r="D92" s="13" t="str">
        <x:v>Устройство трубопроводов из полиэтиленовых труб: до 2 отверстий - Ø50 мм и Ø110 мм</x:v>
      </x:c>
      <x:c r="E92" s="13" t="str">
        <x:v>канал.км</x:v>
      </x:c>
      <x:c r="F92" s="15" t="n">
        <x:v>1.385</x:v>
      </x:c>
      <x:c r="G92" s="16" t="n">
        <x:v>1</x:v>
      </x:c>
      <x:c r="H92" s="15" t="n">
        <x:f>F92*G92</x:f>
        <x:v>1.385</x:v>
      </x:c>
      <x:c r="I92" s="13" t="str">
        <x:v>Кандидаты</x:v>
      </x:c>
      <x:c r="J92" s="14" t="n">
        <x:v>1</x:v>
      </x:c>
      <x:c r="K92" s="14" t="n">
        <x:v>0</x:v>
      </x:c>
      <x:c r="L92" s="14" t="n">
        <x:v>1</x:v>
      </x:c>
      <x:c r="M92" s="13" t="str">
        <x:v>Основная строка</x:v>
      </x:c>
      <x:c r="N92" s="13" t="str">
        <x:v>6 - Освещение (основное) - ЛСР.pdf</x:v>
      </x:c>
      <x:c r="O92" s="13" t="str">
        <x:v>канал.км</x:v>
      </x:c>
      <x:c r="P92" s="13" t="str">
        <x:v>Раздел 1. Общестроительные работы</x:v>
      </x:c>
    </x:row>
    <x:row r="93" ht="39" customHeight="1">
      <x:c r="A93" s="8" t="str">
        <x:v>N001</x:v>
      </x:c>
      <x:c r="B93" s="8" t="str">
        <x:v>Сыпучие материалы и грунт</x:v>
      </x:c>
      <x:c r="C93" s="8" t="str">
        <x:v>12</x:v>
      </x:c>
      <x:c r="D93" s="8" t="str">
        <x:v>Песок природный для строительных работ I класс, мелкий</x:v>
      </x:c>
      <x:c r="E93" s="8" t="str">
        <x:v>м3</x:v>
      </x:c>
      <x:c r="F93" s="11" t="n">
        <x:v>137.28</x:v>
      </x:c>
      <x:c r="G93" s="12" t="n">
        <x:v>1</x:v>
      </x:c>
      <x:c r="H93" s="11" t="n">
        <x:f>F93*G93</x:f>
        <x:v>137.28</x:v>
      </x:c>
      <x:c r="I93" s="8" t="str">
        <x:v>Кандидаты</x:v>
      </x:c>
      <x:c r="J93" s="10" t="n">
        <x:v>1</x:v>
      </x:c>
      <x:c r="K93" s="10" t="n">
        <x:v>0</x:v>
      </x:c>
      <x:c r="L93" s="10" t="n">
        <x:v>1</x:v>
      </x:c>
      <x:c r="M93" s="8" t="str">
        <x:v>Основная строка</x:v>
      </x:c>
      <x:c r="N93" s="8" t="str">
        <x:v>6 - Освещение (основное) - ЛСР.pdf</x:v>
      </x:c>
      <x:c r="O93" s="8" t="str">
        <x:v>м³</x:v>
      </x:c>
      <x:c r="P93" s="8" t="str">
        <x:v>Раздел 1. Общестроительные работы</x:v>
      </x:c>
    </x:row>
    <x:row r="94" ht="39" customHeight="1">
      <x:c r="A94" s="13" t="str">
        <x:v>N120</x:v>
      </x:c>
      <x:c r="B94" s="13" t="str">
        <x:v>Электромонтаж и наружное освещение</x:v>
      </x:c>
      <x:c r="C94" s="13" t="str">
        <x:v>13</x:v>
      </x:c>
      <x:c r="D94" s="13" t="str">
        <x:v>Покрытие кабеля, проложенного в траншее: лентой сигнальной</x:v>
      </x:c>
      <x:c r="E94" s="13" t="str">
        <x:v>100 м</x:v>
      </x:c>
      <x:c r="F94" s="15" t="n">
        <x:v>10.4</x:v>
      </x:c>
      <x:c r="G94" s="16" t="n">
        <x:v>100</x:v>
      </x:c>
      <x:c r="H94" s="15" t="n">
        <x:f>F94*G94</x:f>
        <x:v>1040</x:v>
      </x:c>
      <x:c r="I94" s="13" t="str">
        <x:v>Кандидаты</x:v>
      </x:c>
      <x:c r="J94" s="14" t="n">
        <x:v>1</x:v>
      </x:c>
      <x:c r="K94" s="14" t="n">
        <x:v>0</x:v>
      </x:c>
      <x:c r="L94" s="14" t="n">
        <x:v>1</x:v>
      </x:c>
      <x:c r="M94" s="13" t="str">
        <x:v>Работа с вложенными ресурсами</x:v>
      </x:c>
      <x:c r="N94" s="13" t="str">
        <x:v>6 - Освещение (основное) - ЛСР.pdf</x:v>
      </x:c>
      <x:c r="O94" s="13" t="str">
        <x:v>м</x:v>
      </x:c>
      <x:c r="P94" s="13" t="str">
        <x:v>Раздел 1. Общестроительные работы</x:v>
      </x:c>
    </x:row>
    <x:row r="95" ht="39" customHeight="1">
      <x:c r="A95" s="8" t="str"/>
      <x:c r="B95" s="8" t="str">
        <x:v>Расчётные и корректирующие строки</x:v>
      </x:c>
      <x:c r="C95" s="8" t="str">
        <x:v>13.1</x:v>
      </x:c>
      <x:c r="D95" s="8" t="str">
        <x:v>Вспомогательные ненормируемые материальные ресурсы</x:v>
      </x:c>
      <x:c r="E95" s="8" t="str">
        <x:v>%</x:v>
      </x:c>
      <x:c r="F95" s="11" t="n">
        <x:v>2</x:v>
      </x:c>
      <x:c r="G95" s="12" t="n">
        <x:v>1</x:v>
      </x:c>
      <x:c r="H95" s="11" t="n">
        <x:f>F95*G95</x:f>
        <x:v>2</x:v>
      </x:c>
      <x:c r="I95" s="8" t="str">
        <x:v>Не искать отдельно</x:v>
      </x:c>
      <x:c r="J95" s="10" t="n">
        <x:v>0</x:v>
      </x:c>
      <x:c r="K95" s="10" t="n">
        <x:v>0</x:v>
      </x:c>
      <x:c r="L95" s="10" t="n">
        <x:v>0</x:v>
      </x:c>
      <x:c r="M95" s="8" t="str">
        <x:v>Ресурс родительской работы</x:v>
      </x:c>
      <x:c r="N95" s="8" t="str">
        <x:v>6 - Освещение (основное) - ЛСР.pdf</x:v>
      </x:c>
      <x:c r="O95" s="8" t="str">
        <x:v>%</x:v>
      </x:c>
      <x:c r="P95" s="8" t="str">
        <x:v>Раздел 1. Общестроительные работы</x:v>
      </x:c>
    </x:row>
    <x:row r="96" ht="39" customHeight="1">
      <x:c r="A96" s="13" t="str">
        <x:v>N040</x:v>
      </x:c>
      <x:c r="B96" s="13" t="str">
        <x:v>Щиты и электротехнические изделия</x:v>
      </x:c>
      <x:c r="C96" s="13" t="str">
        <x:v>14</x:v>
      </x:c>
      <x:c r="D96" s="13" t="str">
        <x:v>Лента сигнальная полиэтиленовая ЛСЭ-300, длина 100 м, ширина 300 мм</x:v>
      </x:c>
      <x:c r="E96" s="13" t="str">
        <x:v>шт</x:v>
      </x:c>
      <x:c r="F96" s="15" t="n">
        <x:v>10.4</x:v>
      </x:c>
      <x:c r="G96" s="16" t="n">
        <x:v>1</x:v>
      </x:c>
      <x:c r="H96" s="15" t="n">
        <x:f>F96*G96</x:f>
        <x:v>10.4</x:v>
      </x:c>
      <x:c r="I96" s="13" t="str">
        <x:v>Цена есть</x:v>
      </x:c>
      <x:c r="J96" s="14" t="n">
        <x:v>0</x:v>
      </x:c>
      <x:c r="K96" s="14" t="n">
        <x:v>1</x:v>
      </x:c>
      <x:c r="L96" s="14" t="n">
        <x:v>1</x:v>
      </x:c>
      <x:c r="M96" s="13" t="str">
        <x:v>Основная строка</x:v>
      </x:c>
      <x:c r="N96" s="13" t="str">
        <x:v>6 - Освещение (основное) - ЛСР.pdf</x:v>
      </x:c>
      <x:c r="O96" s="13" t="str">
        <x:v>шт</x:v>
      </x:c>
      <x:c r="P96" s="13" t="str">
        <x:v>Раздел 1. Общестроительные работы</x:v>
      </x:c>
    </x:row>
    <x:row r="97" ht="54" customHeight="1">
      <x:c r="A97" s="8" t="str">
        <x:v>N086</x:v>
      </x:c>
      <x:c r="B97" s="8" t="str">
        <x:v>Земляные работы</x:v>
      </x:c>
      <x:c r="C97" s="8" t="str">
        <x:v>15</x:v>
      </x:c>
      <x:c r="D97" s="8" t="str">
        <x:v>Засыпка траншей и котлованов с перемещением грунта до 5 м бульдозерами мощностью: 59 кВт (80 л.с.), группа грунтов 1 - песком</x:v>
      </x:c>
      <x:c r="E97" s="8" t="str">
        <x:v>1000 м3</x:v>
      </x:c>
      <x:c r="F97" s="11" t="n">
        <x:v>0.00886</x:v>
      </x:c>
      <x:c r="G97" s="12" t="n">
        <x:v>1000</x:v>
      </x:c>
      <x:c r="H97" s="11" t="n">
        <x:f>F97*G97</x:f>
        <x:v>8.86</x:v>
      </x:c>
      <x:c r="I97" s="8" t="str">
        <x:v>Кандидаты</x:v>
      </x:c>
      <x:c r="J97" s="10" t="n">
        <x:v>1</x:v>
      </x:c>
      <x:c r="K97" s="10" t="n">
        <x:v>0</x:v>
      </x:c>
      <x:c r="L97" s="10" t="n">
        <x:v>1</x:v>
      </x:c>
      <x:c r="M97" s="8" t="str">
        <x:v>Основная строка</x:v>
      </x:c>
      <x:c r="N97" s="8" t="str">
        <x:v>6 - Освещение (основное) - ЛСР.pdf</x:v>
      </x:c>
      <x:c r="O97" s="8" t="str">
        <x:v>м³</x:v>
      </x:c>
      <x:c r="P97" s="8" t="str">
        <x:v>Раздел 1. Общестроительные работы</x:v>
      </x:c>
    </x:row>
    <x:row r="98" ht="39" customHeight="1">
      <x:c r="A98" s="13" t="str">
        <x:v>N001</x:v>
      </x:c>
      <x:c r="B98" s="13" t="str">
        <x:v>Сыпучие материалы и грунт</x:v>
      </x:c>
      <x:c r="C98" s="13" t="str">
        <x:v>16</x:v>
      </x:c>
      <x:c r="D98" s="13" t="str">
        <x:v>Песок природный для строительных работ I класс, мелкий</x:v>
      </x:c>
      <x:c r="E98" s="13" t="str">
        <x:v>м3</x:v>
      </x:c>
      <x:c r="F98" s="15" t="n">
        <x:v>9.746</x:v>
      </x:c>
      <x:c r="G98" s="16" t="n">
        <x:v>1</x:v>
      </x:c>
      <x:c r="H98" s="15" t="n">
        <x:f>F98*G98</x:f>
        <x:v>9.746</x:v>
      </x:c>
      <x:c r="I98" s="13" t="str">
        <x:v>Кандидаты</x:v>
      </x:c>
      <x:c r="J98" s="14" t="n">
        <x:v>1</x:v>
      </x:c>
      <x:c r="K98" s="14" t="n">
        <x:v>0</x:v>
      </x:c>
      <x:c r="L98" s="14" t="n">
        <x:v>1</x:v>
      </x:c>
      <x:c r="M98" s="13" t="str">
        <x:v>Основная строка</x:v>
      </x:c>
      <x:c r="N98" s="13" t="str">
        <x:v>6 - Освещение (основное) - ЛСР.pdf</x:v>
      </x:c>
      <x:c r="O98" s="13" t="str">
        <x:v>м³</x:v>
      </x:c>
      <x:c r="P98" s="13" t="str">
        <x:v>Раздел 1. Общестроительные работы</x:v>
      </x:c>
    </x:row>
    <x:row r="99" ht="39" customHeight="1">
      <x:c r="A99" s="8" t="str">
        <x:v>N084</x:v>
      </x:c>
      <x:c r="B99" s="8" t="str">
        <x:v>Земляные работы</x:v>
      </x:c>
      <x:c r="C99" s="8" t="str">
        <x:v>17</x:v>
      </x:c>
      <x:c r="D99" s="8" t="str">
        <x:v>Уплотнение грунта пневматическими трамбовками, группа грунтов: 1-2</x:v>
      </x:c>
      <x:c r="E99" s="8" t="str">
        <x:v>100 м3</x:v>
      </x:c>
      <x:c r="F99" s="11" t="n">
        <x:v>0.0886</x:v>
      </x:c>
      <x:c r="G99" s="12" t="n">
        <x:v>100</x:v>
      </x:c>
      <x:c r="H99" s="11" t="n">
        <x:f>F99*G99</x:f>
        <x:v>8.86</x:v>
      </x:c>
      <x:c r="I99" s="8" t="str">
        <x:v>Кандидаты</x:v>
      </x:c>
      <x:c r="J99" s="10" t="n">
        <x:v>1</x:v>
      </x:c>
      <x:c r="K99" s="10" t="n">
        <x:v>0</x:v>
      </x:c>
      <x:c r="L99" s="10" t="n">
        <x:v>1</x:v>
      </x:c>
      <x:c r="M99" s="8" t="str">
        <x:v>Основная строка</x:v>
      </x:c>
      <x:c r="N99" s="8" t="str">
        <x:v>6 - Освещение (основное) - ЛСР.pdf</x:v>
      </x:c>
      <x:c r="O99" s="8" t="str">
        <x:v>м³</x:v>
      </x:c>
      <x:c r="P99" s="8" t="str">
        <x:v>Раздел 1. Общестроительные работы</x:v>
      </x:c>
    </x:row>
    <x:row r="100" ht="54" customHeight="1">
      <x:c r="A100" s="13" t="str">
        <x:v>N085</x:v>
      </x:c>
      <x:c r="B100" s="13" t="str">
        <x:v>Земляные работы</x:v>
      </x:c>
      <x:c r="C100" s="13" t="str">
        <x:v>18</x:v>
      </x:c>
      <x:c r="D100" s="13" t="str">
        <x:v>Засыпка траншей и котлованов с перемещением грунта до 5 м бульдозерами мощностью: 59 кВт (80 л.с.), группа грунтов 1 - грунт</x:v>
      </x:c>
      <x:c r="E100" s="13" t="str">
        <x:v>1000 м3</x:v>
      </x:c>
      <x:c r="F100" s="15" t="n">
        <x:v>0.24074</x:v>
      </x:c>
      <x:c r="G100" s="16" t="n">
        <x:v>1000</x:v>
      </x:c>
      <x:c r="H100" s="15" t="n">
        <x:f>F100*G100</x:f>
        <x:v>240.74</x:v>
      </x:c>
      <x:c r="I100" s="13" t="str">
        <x:v>Кандидаты</x:v>
      </x:c>
      <x:c r="J100" s="14" t="n">
        <x:v>1</x:v>
      </x:c>
      <x:c r="K100" s="14" t="n">
        <x:v>0</x:v>
      </x:c>
      <x:c r="L100" s="14" t="n">
        <x:v>1</x:v>
      </x:c>
      <x:c r="M100" s="13" t="str">
        <x:v>Основная строка</x:v>
      </x:c>
      <x:c r="N100" s="13" t="str">
        <x:v>6 - Освещение (основное) - ЛСР.pdf</x:v>
      </x:c>
      <x:c r="O100" s="13" t="str">
        <x:v>м³</x:v>
      </x:c>
      <x:c r="P100" s="13" t="str">
        <x:v>Раздел 1. Общестроительные работы</x:v>
      </x:c>
    </x:row>
    <x:row r="101" ht="39" customHeight="1">
      <x:c r="A101" s="8" t="str">
        <x:v>N130</x:v>
      </x:c>
      <x:c r="B101" s="8" t="str">
        <x:v>Электромонтаж и наружное освещение</x:v>
      </x:c>
      <x:c r="C101" s="8" t="str">
        <x:v>19</x:v>
      </x:c>
      <x:c r="D101" s="8" t="str">
        <x:v>Светильник, устанавливаемый вне зданий с лампами: ртутными - светодиодный</x:v>
      </x:c>
      <x:c r="E101" s="8" t="str">
        <x:v>шт</x:v>
      </x:c>
      <x:c r="F101" s="11" t="n">
        <x:v>92</x:v>
      </x:c>
      <x:c r="G101" s="12" t="n">
        <x:v>1</x:v>
      </x:c>
      <x:c r="H101" s="11" t="n">
        <x:f>F101*G101</x:f>
        <x:v>92</x:v>
      </x:c>
      <x:c r="I101" s="8" t="str">
        <x:v>Кандидаты</x:v>
      </x:c>
      <x:c r="J101" s="10" t="n">
        <x:v>1</x:v>
      </x:c>
      <x:c r="K101" s="10" t="n">
        <x:v>0</x:v>
      </x:c>
      <x:c r="L101" s="10" t="n">
        <x:v>1</x:v>
      </x:c>
      <x:c r="M101" s="8" t="str">
        <x:v>Работа с вложенными ресурсами</x:v>
      </x:c>
      <x:c r="N101" s="8" t="str">
        <x:v>6 - Освещение (основное) - ЛСР.pdf</x:v>
      </x:c>
      <x:c r="O101" s="8" t="str">
        <x:v>шт</x:v>
      </x:c>
      <x:c r="P101" s="8" t="str">
        <x:v>Раздел 2. Электромонтажные работы</x:v>
      </x:c>
    </x:row>
    <x:row r="102" ht="39" customHeight="1">
      <x:c r="A102" s="13" t="str"/>
      <x:c r="B102" s="13" t="str">
        <x:v>Расчётные и корректирующие строки</x:v>
      </x:c>
      <x:c r="C102" s="13" t="str">
        <x:v>19.1</x:v>
      </x:c>
      <x:c r="D102" s="13" t="str">
        <x:v>Вспомогательные ненормируемые материальные ресурсы</x:v>
      </x:c>
      <x:c r="E102" s="13" t="str">
        <x:v>%</x:v>
      </x:c>
      <x:c r="F102" s="15" t="n">
        <x:v>2</x:v>
      </x:c>
      <x:c r="G102" s="16" t="n">
        <x:v>1</x:v>
      </x:c>
      <x:c r="H102" s="15" t="n">
        <x:f>F102*G102</x:f>
        <x:v>2</x:v>
      </x:c>
      <x:c r="I102" s="13" t="str">
        <x:v>Не искать отдельно</x:v>
      </x:c>
      <x:c r="J102" s="14" t="n">
        <x:v>0</x:v>
      </x:c>
      <x:c r="K102" s="14" t="n">
        <x:v>0</x:v>
      </x:c>
      <x:c r="L102" s="14" t="n">
        <x:v>0</x:v>
      </x:c>
      <x:c r="M102" s="13" t="str">
        <x:v>Ресурс родительской работы</x:v>
      </x:c>
      <x:c r="N102" s="13" t="str">
        <x:v>6 - Освещение (основное) - ЛСР.pdf</x:v>
      </x:c>
      <x:c r="O102" s="13" t="str">
        <x:v>%</x:v>
      </x:c>
      <x:c r="P102" s="13" t="str">
        <x:v>Раздел 2. Электромонтажные работы</x:v>
      </x:c>
    </x:row>
    <x:row r="103" ht="39" customHeight="1">
      <x:c r="A103" s="8" t="str"/>
      <x:c r="B103" s="8" t="str">
        <x:v>Расчётные и корректирующие строки</x:v>
      </x:c>
      <x:c r="C103" s="8" t="str">
        <x:v>20</x:v>
      </x:c>
      <x:c r="D103" s="8" t="str">
        <x:v>Провод неизолированный для воздушных линий электропередачи М 4</x:v>
      </x:c>
      <x:c r="E103" s="8" t="str">
        <x:v>т</x:v>
      </x:c>
      <x:c r="F103" s="11" t="n">
        <x:v>-0.046</x:v>
      </x:c>
      <x:c r="G103" s="12" t="n">
        <x:v>1</x:v>
      </x:c>
      <x:c r="H103" s="11" t="n">
        <x:f>F103*G103</x:f>
        <x:v>-0.046</x:v>
      </x:c>
      <x:c r="I103" s="8" t="str">
        <x:v>Не искать отдельно</x:v>
      </x:c>
      <x:c r="J103" s="10" t="n">
        <x:v>0</x:v>
      </x:c>
      <x:c r="K103" s="10" t="n">
        <x:v>0</x:v>
      </x:c>
      <x:c r="L103" s="10" t="n">
        <x:v>0</x:v>
      </x:c>
      <x:c r="M103" s="8" t="str">
        <x:v>Основная строка</x:v>
      </x:c>
      <x:c r="N103" s="8" t="str">
        <x:v>6 - Освещение (основное) - ЛСР.pdf</x:v>
      </x:c>
      <x:c r="O103" s="8" t="str">
        <x:v>т</x:v>
      </x:c>
      <x:c r="P103" s="8" t="str">
        <x:v>Раздел 2. Электромонтажные работы</x:v>
      </x:c>
    </x:row>
    <x:row r="104" ht="39" customHeight="1">
      <x:c r="A104" s="13" t="str">
        <x:v>N128</x:v>
      </x:c>
      <x:c r="B104" s="13" t="str">
        <x:v>Электромонтаж и наружное освещение</x:v>
      </x:c>
      <x:c r="C104" s="13" t="str">
        <x:v>21</x:v>
      </x:c>
      <x:c r="D104" s="13" t="str">
        <x:v>Предохранитель</x:v>
      </x:c>
      <x:c r="E104" s="13" t="str">
        <x:v>шт</x:v>
      </x:c>
      <x:c r="F104" s="15" t="n">
        <x:v>92</x:v>
      </x:c>
      <x:c r="G104" s="16" t="n">
        <x:v>1</x:v>
      </x:c>
      <x:c r="H104" s="15" t="n">
        <x:f>F104*G104</x:f>
        <x:v>92</x:v>
      </x:c>
      <x:c r="I104" s="13" t="str">
        <x:v>Цена не найдена</x:v>
      </x:c>
      <x:c r="J104" s="14" t="n">
        <x:v>1</x:v>
      </x:c>
      <x:c r="K104" s="14" t="n">
        <x:v>0</x:v>
      </x:c>
      <x:c r="L104" s="14" t="n">
        <x:v>1</x:v>
      </x:c>
      <x:c r="M104" s="13" t="str">
        <x:v>Работа с вложенными ресурсами</x:v>
      </x:c>
      <x:c r="N104" s="13" t="str">
        <x:v>6 - Освещение (основное) - ЛСР.pdf</x:v>
      </x:c>
      <x:c r="O104" s="13" t="str">
        <x:v>шт</x:v>
      </x:c>
      <x:c r="P104" s="13" t="str">
        <x:v>Раздел 2. Электромонтажные работы</x:v>
      </x:c>
    </x:row>
    <x:row r="105" ht="39" customHeight="1">
      <x:c r="A105" s="8" t="str"/>
      <x:c r="B105" s="8" t="str">
        <x:v>Расчётные и корректирующие строки</x:v>
      </x:c>
      <x:c r="C105" s="8" t="str">
        <x:v>21.1</x:v>
      </x:c>
      <x:c r="D105" s="8" t="str">
        <x:v>Вспомогательные ненормируемые материальные ресурсы</x:v>
      </x:c>
      <x:c r="E105" s="8" t="str">
        <x:v>%</x:v>
      </x:c>
      <x:c r="F105" s="11" t="n">
        <x:v>2</x:v>
      </x:c>
      <x:c r="G105" s="12" t="n">
        <x:v>1</x:v>
      </x:c>
      <x:c r="H105" s="11" t="n">
        <x:f>F105*G105</x:f>
        <x:v>2</x:v>
      </x:c>
      <x:c r="I105" s="8" t="str">
        <x:v>Не искать отдельно</x:v>
      </x:c>
      <x:c r="J105" s="10" t="n">
        <x:v>0</x:v>
      </x:c>
      <x:c r="K105" s="10" t="n">
        <x:v>0</x:v>
      </x:c>
      <x:c r="L105" s="10" t="n">
        <x:v>0</x:v>
      </x:c>
      <x:c r="M105" s="8" t="str">
        <x:v>Ресурс родительской работы</x:v>
      </x:c>
      <x:c r="N105" s="8" t="str">
        <x:v>6 - Освещение (основное) - ЛСР.pdf</x:v>
      </x:c>
      <x:c r="O105" s="8" t="str">
        <x:v>%</x:v>
      </x:c>
      <x:c r="P105" s="8" t="str">
        <x:v>Раздел 2. Электромонтажные работы</x:v>
      </x:c>
    </x:row>
    <x:row r="106" ht="54" customHeight="1">
      <x:c r="A106" s="13" t="str">
        <x:v>N116</x:v>
      </x:c>
      <x:c r="B106" s="13" t="str">
        <x:v>Электромонтаж и наружное освещение</x:v>
      </x:c>
      <x:c r="C106" s="13" t="str">
        <x:v>22</x:v>
      </x:c>
      <x:c r="D106" s="13" t="str">
        <x:v>Заделка концевая с термоусаживающимися полиэтиленовыми перчатками для 3-5-жильного кабеля с бумажной изоляцией напряжением до 1 кВ, сечение одной жилы: до 35 мм2 -монтаж муфты</x:v>
      </x:c>
      <x:c r="E106" s="13" t="str">
        <x:v>шт</x:v>
      </x:c>
      <x:c r="F106" s="15" t="n">
        <x:v>86</x:v>
      </x:c>
      <x:c r="G106" s="16" t="n">
        <x:v>1</x:v>
      </x:c>
      <x:c r="H106" s="15" t="n">
        <x:f>F106*G106</x:f>
        <x:v>86</x:v>
      </x:c>
      <x:c r="I106" s="13" t="str">
        <x:v>Цена не найдена</x:v>
      </x:c>
      <x:c r="J106" s="14" t="n">
        <x:v>1</x:v>
      </x:c>
      <x:c r="K106" s="14" t="n">
        <x:v>0</x:v>
      </x:c>
      <x:c r="L106" s="14" t="n">
        <x:v>1</x:v>
      </x:c>
      <x:c r="M106" s="13" t="str">
        <x:v>Работа с вложенными ресурсами</x:v>
      </x:c>
      <x:c r="N106" s="13" t="str">
        <x:v>6 - Освещение (основное) - ЛСР.pdf</x:v>
      </x:c>
      <x:c r="O106" s="13" t="str">
        <x:v>шт</x:v>
      </x:c>
      <x:c r="P106" s="13" t="str">
        <x:v>Раздел 2. Электромонтажные работы</x:v>
      </x:c>
    </x:row>
    <x:row r="107" ht="39" customHeight="1">
      <x:c r="A107" s="8" t="str"/>
      <x:c r="B107" s="8" t="str">
        <x:v>Расчётные и корректирующие строки</x:v>
      </x:c>
      <x:c r="C107" s="8" t="str">
        <x:v>22.1</x:v>
      </x:c>
      <x:c r="D107" s="8" t="str">
        <x:v>Вспомогательные ненормируемые материальные ресурсы</x:v>
      </x:c>
      <x:c r="E107" s="8" t="str">
        <x:v>%</x:v>
      </x:c>
      <x:c r="F107" s="11" t="n">
        <x:v>2</x:v>
      </x:c>
      <x:c r="G107" s="12" t="n">
        <x:v>1</x:v>
      </x:c>
      <x:c r="H107" s="11" t="n">
        <x:f>F107*G107</x:f>
        <x:v>2</x:v>
      </x:c>
      <x:c r="I107" s="8" t="str">
        <x:v>Не искать отдельно</x:v>
      </x:c>
      <x:c r="J107" s="10" t="n">
        <x:v>0</x:v>
      </x:c>
      <x:c r="K107" s="10" t="n">
        <x:v>0</x:v>
      </x:c>
      <x:c r="L107" s="10" t="n">
        <x:v>0</x:v>
      </x:c>
      <x:c r="M107" s="8" t="str">
        <x:v>Ресурс родительской работы</x:v>
      </x:c>
      <x:c r="N107" s="8" t="str">
        <x:v>6 - Освещение (основное) - ЛСР.pdf</x:v>
      </x:c>
      <x:c r="O107" s="8" t="str">
        <x:v>%</x:v>
      </x:c>
      <x:c r="P107" s="8" t="str">
        <x:v>Раздел 2. Электромонтажные работы</x:v>
      </x:c>
    </x:row>
    <x:row r="108" ht="54" customHeight="1">
      <x:c r="A108" s="13" t="str">
        <x:v>N118</x:v>
      </x:c>
      <x:c r="B108" s="13" t="str">
        <x:v>Электромонтаж и наружное освещение</x:v>
      </x:c>
      <x:c r="C108" s="13" t="str">
        <x:v>23</x:v>
      </x:c>
      <x:c r="D108" s="13" t="str">
        <x:v>Затягивание провода в проложенные трубы и металлические рукава первого одножильного или многожильного в общей оплетке, суммарное сечение: до 6 мм2 - в опоре</x:v>
      </x:c>
      <x:c r="E108" s="13" t="str">
        <x:v>100 м</x:v>
      </x:c>
      <x:c r="F108" s="15" t="n">
        <x:v>5.41</x:v>
      </x:c>
      <x:c r="G108" s="16" t="n">
        <x:v>100</x:v>
      </x:c>
      <x:c r="H108" s="15" t="n">
        <x:f>F108*G108</x:f>
        <x:v>541</x:v>
      </x:c>
      <x:c r="I108" s="13" t="str">
        <x:v>Цена не найдена</x:v>
      </x:c>
      <x:c r="J108" s="14" t="n">
        <x:v>1</x:v>
      </x:c>
      <x:c r="K108" s="14" t="n">
        <x:v>0</x:v>
      </x:c>
      <x:c r="L108" s="14" t="n">
        <x:v>1</x:v>
      </x:c>
      <x:c r="M108" s="13" t="str">
        <x:v>Работа с вложенными ресурсами</x:v>
      </x:c>
      <x:c r="N108" s="13" t="str">
        <x:v>6 - Освещение (основное) - ЛСР.pdf</x:v>
      </x:c>
      <x:c r="O108" s="13" t="str">
        <x:v>м</x:v>
      </x:c>
      <x:c r="P108" s="13" t="str">
        <x:v>Раздел 2. Электромонтажные работы</x:v>
      </x:c>
    </x:row>
    <x:row r="109" ht="39" customHeight="1">
      <x:c r="A109" s="8" t="str"/>
      <x:c r="B109" s="8" t="str">
        <x:v>Расчётные и корректирующие строки</x:v>
      </x:c>
      <x:c r="C109" s="8" t="str">
        <x:v>23.1</x:v>
      </x:c>
      <x:c r="D109" s="8" t="str">
        <x:v>Вспомогательные ненормируемые материальные ресурсы</x:v>
      </x:c>
      <x:c r="E109" s="8" t="str">
        <x:v>%</x:v>
      </x:c>
      <x:c r="F109" s="11" t="n">
        <x:v>2</x:v>
      </x:c>
      <x:c r="G109" s="12" t="n">
        <x:v>1</x:v>
      </x:c>
      <x:c r="H109" s="11" t="n">
        <x:f>F109*G109</x:f>
        <x:v>2</x:v>
      </x:c>
      <x:c r="I109" s="8" t="str">
        <x:v>Не искать отдельно</x:v>
      </x:c>
      <x:c r="J109" s="10" t="n">
        <x:v>0</x:v>
      </x:c>
      <x:c r="K109" s="10" t="n">
        <x:v>0</x:v>
      </x:c>
      <x:c r="L109" s="10" t="n">
        <x:v>0</x:v>
      </x:c>
      <x:c r="M109" s="8" t="str">
        <x:v>Ресурс родительской работы</x:v>
      </x:c>
      <x:c r="N109" s="8" t="str">
        <x:v>6 - Освещение (основное) - ЛСР.pdf</x:v>
      </x:c>
      <x:c r="O109" s="8" t="str">
        <x:v>%</x:v>
      </x:c>
      <x:c r="P109" s="8" t="str">
        <x:v>Раздел 2. Электромонтажные работы</x:v>
      </x:c>
    </x:row>
    <x:row r="110" ht="54" customHeight="1">
      <x:c r="A110" s="13" t="str">
        <x:v>N129</x:v>
      </x:c>
      <x:c r="B110" s="13" t="str">
        <x:v>Электромонтаж и наружное освещение</x:v>
      </x:c>
      <x:c r="C110" s="13" t="str">
        <x:v>24</x:v>
      </x:c>
      <x:c r="D110" s="13" t="str">
        <x:v>Прокладка резинобитумных трубок с затягиванием проводов, количество проводов: свыше 2 до 3, сечение провода свыше 35 до 70 мм2 - в опоре</x:v>
      </x:c>
      <x:c r="E110" s="13" t="str">
        <x:v>100 м</x:v>
      </x:c>
      <x:c r="F110" s="15" t="n">
        <x:v>0.86</x:v>
      </x:c>
      <x:c r="G110" s="16" t="n">
        <x:v>100</x:v>
      </x:c>
      <x:c r="H110" s="15" t="n">
        <x:f>F110*G110</x:f>
        <x:v>86</x:v>
      </x:c>
      <x:c r="I110" s="13" t="str">
        <x:v>Кандидаты</x:v>
      </x:c>
      <x:c r="J110" s="14" t="n">
        <x:v>1</x:v>
      </x:c>
      <x:c r="K110" s="14" t="n">
        <x:v>0</x:v>
      </x:c>
      <x:c r="L110" s="14" t="n">
        <x:v>1</x:v>
      </x:c>
      <x:c r="M110" s="13" t="str">
        <x:v>Работа с вложенными ресурсами</x:v>
      </x:c>
      <x:c r="N110" s="13" t="str">
        <x:v>6 - Освещение (основное) - ЛСР.pdf</x:v>
      </x:c>
      <x:c r="O110" s="13" t="str">
        <x:v>м</x:v>
      </x:c>
      <x:c r="P110" s="13" t="str">
        <x:v>Раздел 2. Электромонтажные работы</x:v>
      </x:c>
    </x:row>
    <x:row r="111" ht="39" customHeight="1">
      <x:c r="A111" s="8" t="str"/>
      <x:c r="B111" s="8" t="str">
        <x:v>Расчётные и корректирующие строки</x:v>
      </x:c>
      <x:c r="C111" s="8" t="str">
        <x:v>24.1</x:v>
      </x:c>
      <x:c r="D111" s="8" t="str">
        <x:v>Вспомогательные ненормируемые материальные ресурсы</x:v>
      </x:c>
      <x:c r="E111" s="8" t="str">
        <x:v>%</x:v>
      </x:c>
      <x:c r="F111" s="11" t="n">
        <x:v>2</x:v>
      </x:c>
      <x:c r="G111" s="12" t="n">
        <x:v>1</x:v>
      </x:c>
      <x:c r="H111" s="11" t="n">
        <x:f>F111*G111</x:f>
        <x:v>2</x:v>
      </x:c>
      <x:c r="I111" s="8" t="str">
        <x:v>Не искать отдельно</x:v>
      </x:c>
      <x:c r="J111" s="10" t="n">
        <x:v>0</x:v>
      </x:c>
      <x:c r="K111" s="10" t="n">
        <x:v>0</x:v>
      </x:c>
      <x:c r="L111" s="10" t="n">
        <x:v>0</x:v>
      </x:c>
      <x:c r="M111" s="8" t="str">
        <x:v>Ресурс родительской работы</x:v>
      </x:c>
      <x:c r="N111" s="8" t="str">
        <x:v>6 - Освещение (основное) - ЛСР.pdf</x:v>
      </x:c>
      <x:c r="O111" s="8" t="str">
        <x:v>%</x:v>
      </x:c>
      <x:c r="P111" s="8" t="str">
        <x:v>Раздел 2. Электромонтажные работы</x:v>
      </x:c>
    </x:row>
    <x:row r="112" ht="39" customHeight="1">
      <x:c r="A112" s="13" t="str">
        <x:v>N125</x:v>
      </x:c>
      <x:c r="B112" s="13" t="str">
        <x:v>Электромонтаж и наружное освещение</x:v>
      </x:c>
      <x:c r="C112" s="13" t="str">
        <x:v>25</x:v>
      </x:c>
      <x:c r="D112" s="13" t="str">
        <x:v>Кабель до 35 кВ в проложенных трубах, блоках и коробах, масса 1 м кабеля: до 1 кг</x:v>
      </x:c>
      <x:c r="E112" s="13" t="str">
        <x:v>100 м</x:v>
      </x:c>
      <x:c r="F112" s="15" t="n">
        <x:v>6.95</x:v>
      </x:c>
      <x:c r="G112" s="16" t="n">
        <x:v>100</x:v>
      </x:c>
      <x:c r="H112" s="15" t="n">
        <x:f>F112*G112</x:f>
        <x:v>695</x:v>
      </x:c>
      <x:c r="I112" s="13" t="str">
        <x:v>Кандидаты</x:v>
      </x:c>
      <x:c r="J112" s="14" t="n">
        <x:v>1</x:v>
      </x:c>
      <x:c r="K112" s="14" t="n">
        <x:v>0</x:v>
      </x:c>
      <x:c r="L112" s="14" t="n">
        <x:v>1</x:v>
      </x:c>
      <x:c r="M112" s="13" t="str">
        <x:v>Работа с вложенными ресурсами</x:v>
      </x:c>
      <x:c r="N112" s="13" t="str">
        <x:v>6 - Освещение (основное) - ЛСР.pdf</x:v>
      </x:c>
      <x:c r="O112" s="13" t="str">
        <x:v>м</x:v>
      </x:c>
      <x:c r="P112" s="13" t="str">
        <x:v>Раздел 2. Электромонтажные работы</x:v>
      </x:c>
    </x:row>
    <x:row r="113" ht="39" customHeight="1">
      <x:c r="A113" s="8" t="str"/>
      <x:c r="B113" s="8" t="str">
        <x:v>Расчётные и корректирующие строки</x:v>
      </x:c>
      <x:c r="C113" s="8" t="str">
        <x:v>25.1</x:v>
      </x:c>
      <x:c r="D113" s="8" t="str">
        <x:v>Вспомогательные ненормируемые материальные ресурсы</x:v>
      </x:c>
      <x:c r="E113" s="8" t="str">
        <x:v>%</x:v>
      </x:c>
      <x:c r="F113" s="11" t="n">
        <x:v>2</x:v>
      </x:c>
      <x:c r="G113" s="12" t="n">
        <x:v>1</x:v>
      </x:c>
      <x:c r="H113" s="11" t="n">
        <x:f>F113*G113</x:f>
        <x:v>2</x:v>
      </x:c>
      <x:c r="I113" s="8" t="str">
        <x:v>Не искать отдельно</x:v>
      </x:c>
      <x:c r="J113" s="10" t="n">
        <x:v>0</x:v>
      </x:c>
      <x:c r="K113" s="10" t="n">
        <x:v>0</x:v>
      </x:c>
      <x:c r="L113" s="10" t="n">
        <x:v>0</x:v>
      </x:c>
      <x:c r="M113" s="8" t="str">
        <x:v>Ресурс родительской работы</x:v>
      </x:c>
      <x:c r="N113" s="8" t="str">
        <x:v>6 - Освещение (основное) - ЛСР.pdf</x:v>
      </x:c>
      <x:c r="O113" s="8" t="str">
        <x:v>%</x:v>
      </x:c>
      <x:c r="P113" s="8" t="str">
        <x:v>Раздел 2. Электромонтажные работы</x:v>
      </x:c>
    </x:row>
    <x:row r="114" ht="39" customHeight="1">
      <x:c r="A114" s="13" t="str">
        <x:v>N126</x:v>
      </x:c>
      <x:c r="B114" s="13" t="str">
        <x:v>Электромонтаж и наружное освещение</x:v>
      </x:c>
      <x:c r="C114" s="13" t="str">
        <x:v>26</x:v>
      </x:c>
      <x:c r="D114" s="13" t="str">
        <x:v>Кабель до 35 кВ в проложенных трубах, блоках и коробах, масса 1 м кабеля: до 2 кг</x:v>
      </x:c>
      <x:c r="E114" s="13" t="str">
        <x:v>100 м</x:v>
      </x:c>
      <x:c r="F114" s="15" t="n">
        <x:v>3.45</x:v>
      </x:c>
      <x:c r="G114" s="16" t="n">
        <x:v>100</x:v>
      </x:c>
      <x:c r="H114" s="15" t="n">
        <x:f>F114*G114</x:f>
        <x:v>345</x:v>
      </x:c>
      <x:c r="I114" s="13" t="str">
        <x:v>Кандидаты</x:v>
      </x:c>
      <x:c r="J114" s="14" t="n">
        <x:v>1</x:v>
      </x:c>
      <x:c r="K114" s="14" t="n">
        <x:v>0</x:v>
      </x:c>
      <x:c r="L114" s="14" t="n">
        <x:v>1</x:v>
      </x:c>
      <x:c r="M114" s="13" t="str">
        <x:v>Работа с вложенными ресурсами</x:v>
      </x:c>
      <x:c r="N114" s="13" t="str">
        <x:v>6 - Освещение (основное) - ЛСР.pdf</x:v>
      </x:c>
      <x:c r="O114" s="13" t="str">
        <x:v>м</x:v>
      </x:c>
      <x:c r="P114" s="13" t="str">
        <x:v>Раздел 2. Электромонтажные работы</x:v>
      </x:c>
    </x:row>
    <x:row r="115" ht="39" customHeight="1">
      <x:c r="A115" s="8" t="str"/>
      <x:c r="B115" s="8" t="str">
        <x:v>Расчётные и корректирующие строки</x:v>
      </x:c>
      <x:c r="C115" s="8" t="str">
        <x:v>26.1</x:v>
      </x:c>
      <x:c r="D115" s="8" t="str">
        <x:v>Вспомогательные ненормируемые материальные ресурсы</x:v>
      </x:c>
      <x:c r="E115" s="8" t="str">
        <x:v>%</x:v>
      </x:c>
      <x:c r="F115" s="11" t="n">
        <x:v>2</x:v>
      </x:c>
      <x:c r="G115" s="12" t="n">
        <x:v>1</x:v>
      </x:c>
      <x:c r="H115" s="11" t="n">
        <x:f>F115*G115</x:f>
        <x:v>2</x:v>
      </x:c>
      <x:c r="I115" s="8" t="str">
        <x:v>Не искать отдельно</x:v>
      </x:c>
      <x:c r="J115" s="10" t="n">
        <x:v>0</x:v>
      </x:c>
      <x:c r="K115" s="10" t="n">
        <x:v>0</x:v>
      </x:c>
      <x:c r="L115" s="10" t="n">
        <x:v>0</x:v>
      </x:c>
      <x:c r="M115" s="8" t="str">
        <x:v>Ресурс родительской работы</x:v>
      </x:c>
      <x:c r="N115" s="8" t="str">
        <x:v>6 - Освещение (основное) - ЛСР.pdf</x:v>
      </x:c>
      <x:c r="O115" s="8" t="str">
        <x:v>%</x:v>
      </x:c>
      <x:c r="P115" s="8" t="str">
        <x:v>Раздел 2. Электромонтажные работы</x:v>
      </x:c>
    </x:row>
    <x:row r="116" ht="39" customHeight="1">
      <x:c r="A116" s="13" t="str">
        <x:v>N127</x:v>
      </x:c>
      <x:c r="B116" s="13" t="str">
        <x:v>Электромонтаж и наружное освещение</x:v>
      </x:c>
      <x:c r="C116" s="13" t="str">
        <x:v>27</x:v>
      </x:c>
      <x:c r="D116" s="13" t="str">
        <x:v>Кабель до 35 кВ в проложенных трубах, блоках и коробах, масса 1 м кабеля: до 6 кг</x:v>
      </x:c>
      <x:c r="E116" s="13" t="str">
        <x:v>100 м</x:v>
      </x:c>
      <x:c r="F116" s="15" t="n">
        <x:v>3.45</x:v>
      </x:c>
      <x:c r="G116" s="16" t="n">
        <x:v>100</x:v>
      </x:c>
      <x:c r="H116" s="15" t="n">
        <x:f>F116*G116</x:f>
        <x:v>345</x:v>
      </x:c>
      <x:c r="I116" s="13" t="str">
        <x:v>Кандидаты</x:v>
      </x:c>
      <x:c r="J116" s="14" t="n">
        <x:v>1</x:v>
      </x:c>
      <x:c r="K116" s="14" t="n">
        <x:v>0</x:v>
      </x:c>
      <x:c r="L116" s="14" t="n">
        <x:v>1</x:v>
      </x:c>
      <x:c r="M116" s="13" t="str">
        <x:v>Работа с вложенными ресурсами</x:v>
      </x:c>
      <x:c r="N116" s="13" t="str">
        <x:v>6 - Освещение (основное) - ЛСР.pdf</x:v>
      </x:c>
      <x:c r="O116" s="13" t="str">
        <x:v>м</x:v>
      </x:c>
      <x:c r="P116" s="13" t="str">
        <x:v>Раздел 2. Электромонтажные работы</x:v>
      </x:c>
    </x:row>
    <x:row r="117" ht="39" customHeight="1">
      <x:c r="A117" s="8" t="str"/>
      <x:c r="B117" s="8" t="str">
        <x:v>Расчётные и корректирующие строки</x:v>
      </x:c>
      <x:c r="C117" s="8" t="str">
        <x:v>27.1</x:v>
      </x:c>
      <x:c r="D117" s="8" t="str">
        <x:v>Вспомогательные ненормируемые материальные ресурсы</x:v>
      </x:c>
      <x:c r="E117" s="8" t="str">
        <x:v>%</x:v>
      </x:c>
      <x:c r="F117" s="11" t="n">
        <x:v>2</x:v>
      </x:c>
      <x:c r="G117" s="12" t="n">
        <x:v>1</x:v>
      </x:c>
      <x:c r="H117" s="11" t="n">
        <x:f>F117*G117</x:f>
        <x:v>2</x:v>
      </x:c>
      <x:c r="I117" s="8" t="str">
        <x:v>Не искать отдельно</x:v>
      </x:c>
      <x:c r="J117" s="10" t="n">
        <x:v>0</x:v>
      </x:c>
      <x:c r="K117" s="10" t="n">
        <x:v>0</x:v>
      </x:c>
      <x:c r="L117" s="10" t="n">
        <x:v>0</x:v>
      </x:c>
      <x:c r="M117" s="8" t="str">
        <x:v>Ресурс родительской работы</x:v>
      </x:c>
      <x:c r="N117" s="8" t="str">
        <x:v>6 - Освещение (основное) - ЛСР.pdf</x:v>
      </x:c>
      <x:c r="O117" s="8" t="str">
        <x:v>%</x:v>
      </x:c>
      <x:c r="P117" s="8" t="str">
        <x:v>Раздел 2. Электромонтажные работы</x:v>
      </x:c>
    </x:row>
    <x:row r="118" ht="39" customHeight="1">
      <x:c r="A118" s="13" t="str">
        <x:v>N119</x:v>
      </x:c>
      <x:c r="B118" s="13" t="str">
        <x:v>Электромонтаж и наружное освещение</x:v>
      </x:c>
      <x:c r="C118" s="13" t="str">
        <x:v>28</x:v>
      </x:c>
      <x:c r="D118" s="13" t="str">
        <x:v>Металлические конструкции - (уголок 40х40х4 мм - 36 пм)</x:v>
      </x:c>
      <x:c r="E118" s="13" t="str">
        <x:v>т</x:v>
      </x:c>
      <x:c r="F118" s="15" t="n">
        <x:v>0.02904</x:v>
      </x:c>
      <x:c r="G118" s="16" t="n">
        <x:v>1</x:v>
      </x:c>
      <x:c r="H118" s="15" t="n">
        <x:f>F118*G118</x:f>
        <x:v>0.02904</x:v>
      </x:c>
      <x:c r="I118" s="13" t="str">
        <x:v>Кандидаты</x:v>
      </x:c>
      <x:c r="J118" s="14" t="n">
        <x:v>1</x:v>
      </x:c>
      <x:c r="K118" s="14" t="n">
        <x:v>0</x:v>
      </x:c>
      <x:c r="L118" s="14" t="n">
        <x:v>1</x:v>
      </x:c>
      <x:c r="M118" s="13" t="str">
        <x:v>Работа с вложенными ресурсами</x:v>
      </x:c>
      <x:c r="N118" s="13" t="str">
        <x:v>6 - Освещение (основное) - ЛСР.pdf</x:v>
      </x:c>
      <x:c r="O118" s="13" t="str">
        <x:v>т</x:v>
      </x:c>
      <x:c r="P118" s="13" t="str">
        <x:v>Раздел 3. Щиты</x:v>
      </x:c>
    </x:row>
    <x:row r="119" ht="39" customHeight="1">
      <x:c r="A119" s="8" t="str"/>
      <x:c r="B119" s="8" t="str">
        <x:v>Расчётные и корректирующие строки</x:v>
      </x:c>
      <x:c r="C119" s="8" t="str">
        <x:v>28.1</x:v>
      </x:c>
      <x:c r="D119" s="8" t="str">
        <x:v>Вспомогательные ненормируемые материальные ресурсы</x:v>
      </x:c>
      <x:c r="E119" s="8" t="str">
        <x:v>%</x:v>
      </x:c>
      <x:c r="F119" s="11" t="n">
        <x:v>2</x:v>
      </x:c>
      <x:c r="G119" s="12" t="n">
        <x:v>1</x:v>
      </x:c>
      <x:c r="H119" s="11" t="n">
        <x:f>F119*G119</x:f>
        <x:v>2</x:v>
      </x:c>
      <x:c r="I119" s="8" t="str">
        <x:v>Не искать отдельно</x:v>
      </x:c>
      <x:c r="J119" s="10" t="n">
        <x:v>0</x:v>
      </x:c>
      <x:c r="K119" s="10" t="n">
        <x:v>0</x:v>
      </x:c>
      <x:c r="L119" s="10" t="n">
        <x:v>0</x:v>
      </x:c>
      <x:c r="M119" s="8" t="str">
        <x:v>Ресурс родительской работы</x:v>
      </x:c>
      <x:c r="N119" s="8" t="str">
        <x:v>6 - Освещение (основное) - ЛСР.pdf</x:v>
      </x:c>
      <x:c r="O119" s="8" t="str">
        <x:v>%</x:v>
      </x:c>
      <x:c r="P119" s="8" t="str">
        <x:v>Раздел 3. Щиты</x:v>
      </x:c>
    </x:row>
    <x:row r="120" ht="39" customHeight="1">
      <x:c r="A120" s="13" t="str">
        <x:v>N099</x:v>
      </x:c>
      <x:c r="B120" s="13" t="str">
        <x:v>Основания, бетон и геоматериалы</x:v>
      </x:c>
      <x:c r="C120" s="13" t="str">
        <x:v>29</x:v>
      </x:c>
      <x:c r="D120" s="13" t="str">
        <x:v>Устройство бетонной подготовки</x:v>
      </x:c>
      <x:c r="E120" s="13" t="str">
        <x:v>100 м3</x:v>
      </x:c>
      <x:c r="F120" s="15" t="n">
        <x:v>0.00382</x:v>
      </x:c>
      <x:c r="G120" s="16" t="n">
        <x:v>100</x:v>
      </x:c>
      <x:c r="H120" s="15" t="n">
        <x:f>F120*G120</x:f>
        <x:v>0.382</x:v>
      </x:c>
      <x:c r="I120" s="13" t="str">
        <x:v>Кандидаты</x:v>
      </x:c>
      <x:c r="J120" s="14" t="n">
        <x:v>1</x:v>
      </x:c>
      <x:c r="K120" s="14" t="n">
        <x:v>0</x:v>
      </x:c>
      <x:c r="L120" s="14" t="n">
        <x:v>1</x:v>
      </x:c>
      <x:c r="M120" s="13" t="str">
        <x:v>Работа с вложенными ресурсами</x:v>
      </x:c>
      <x:c r="N120" s="13" t="str">
        <x:v>6 - Освещение (основное) - ЛСР.pdf</x:v>
      </x:c>
      <x:c r="O120" s="13" t="str">
        <x:v>м³</x:v>
      </x:c>
      <x:c r="P120" s="13" t="str">
        <x:v>Раздел 3. Щиты</x:v>
      </x:c>
    </x:row>
    <x:row r="121" ht="39" customHeight="1">
      <x:c r="A121" s="8" t="str">
        <x:v>N006</x:v>
      </x:c>
      <x:c r="B121" s="8" t="str">
        <x:v>Бетон и сухие смеси</x:v>
      </x:c>
      <x:c r="C121" s="8" t="str">
        <x:v>29.1</x:v>
      </x:c>
      <x:c r="D121" s="8" t="str">
        <x:v>Смеси бетонные тяжелого бетона (БСТ) на щебне из гравия, класс В20, F(1)100, W4</x:v>
      </x:c>
      <x:c r="E121" s="8" t="str">
        <x:v>м3</x:v>
      </x:c>
      <x:c r="F121" s="11" t="n">
        <x:v>0.38964</x:v>
      </x:c>
      <x:c r="G121" s="12" t="n">
        <x:v>1</x:v>
      </x:c>
      <x:c r="H121" s="11" t="n">
        <x:f>F121*G121</x:f>
        <x:v>0.38964</x:v>
      </x:c>
      <x:c r="I121" s="8" t="str">
        <x:v>Кандидаты</x:v>
      </x:c>
      <x:c r="J121" s="10" t="n">
        <x:v>1</x:v>
      </x:c>
      <x:c r="K121" s="10" t="n">
        <x:v>0</x:v>
      </x:c>
      <x:c r="L121" s="10" t="n">
        <x:v>1</x:v>
      </x:c>
      <x:c r="M121" s="8" t="str">
        <x:v>Ресурс родительской работы</x:v>
      </x:c>
      <x:c r="N121" s="8" t="str">
        <x:v>6 - Освещение (основное) - ЛСР.pdf</x:v>
      </x:c>
      <x:c r="O121" s="8" t="str">
        <x:v>м³</x:v>
      </x:c>
      <x:c r="P121" s="8" t="str">
        <x:v>Раздел 3. Щиты</x:v>
      </x:c>
    </x:row>
    <x:row r="122" ht="39" customHeight="1">
      <x:c r="A122" s="13" t="str">
        <x:v>N121</x:v>
      </x:c>
      <x:c r="B122" s="13" t="str">
        <x:v>Электромонтаж и наружное освещение</x:v>
      </x:c>
      <x:c r="C122" s="13" t="str">
        <x:v>30</x:v>
      </x:c>
      <x:c r="D122" s="13" t="str">
        <x:v>Прибор измерения и защиты, количество подключаемых концов: до 6 - автомат выключатель</x:v>
      </x:c>
      <x:c r="E122" s="13" t="str">
        <x:v>шт</x:v>
      </x:c>
      <x:c r="F122" s="15" t="n">
        <x:v>9</x:v>
      </x:c>
      <x:c r="G122" s="16" t="n">
        <x:v>1</x:v>
      </x:c>
      <x:c r="H122" s="15" t="n">
        <x:f>F122*G122</x:f>
        <x:v>9</x:v>
      </x:c>
      <x:c r="I122" s="13" t="str">
        <x:v>Кандидаты</x:v>
      </x:c>
      <x:c r="J122" s="14" t="n">
        <x:v>1</x:v>
      </x:c>
      <x:c r="K122" s="14" t="n">
        <x:v>0</x:v>
      </x:c>
      <x:c r="L122" s="14" t="n">
        <x:v>1</x:v>
      </x:c>
      <x:c r="M122" s="13" t="str">
        <x:v>Работа с вложенными ресурсами</x:v>
      </x:c>
      <x:c r="N122" s="13" t="str">
        <x:v>6 - Освещение (основное) - ЛСР.pdf</x:v>
      </x:c>
      <x:c r="O122" s="13" t="str">
        <x:v>шт</x:v>
      </x:c>
      <x:c r="P122" s="13" t="str">
        <x:v>Раздел 3. Щиты</x:v>
      </x:c>
    </x:row>
    <x:row r="123" ht="39" customHeight="1">
      <x:c r="A123" s="8" t="str"/>
      <x:c r="B123" s="8" t="str">
        <x:v>Расчётные и корректирующие строки</x:v>
      </x:c>
      <x:c r="C123" s="8" t="str">
        <x:v>30.1</x:v>
      </x:c>
      <x:c r="D123" s="8" t="str">
        <x:v>Вспомогательные ненормируемые материальные ресурсы</x:v>
      </x:c>
      <x:c r="E123" s="8" t="str">
        <x:v>%</x:v>
      </x:c>
      <x:c r="F123" s="11" t="n">
        <x:v>2</x:v>
      </x:c>
      <x:c r="G123" s="12" t="n">
        <x:v>1</x:v>
      </x:c>
      <x:c r="H123" s="11" t="n">
        <x:f>F123*G123</x:f>
        <x:v>2</x:v>
      </x:c>
      <x:c r="I123" s="8" t="str">
        <x:v>Не искать отдельно</x:v>
      </x:c>
      <x:c r="J123" s="10" t="n">
        <x:v>0</x:v>
      </x:c>
      <x:c r="K123" s="10" t="n">
        <x:v>0</x:v>
      </x:c>
      <x:c r="L123" s="10" t="n">
        <x:v>0</x:v>
      </x:c>
      <x:c r="M123" s="8" t="str">
        <x:v>Ресурс родительской работы</x:v>
      </x:c>
      <x:c r="N123" s="8" t="str">
        <x:v>6 - Освещение (основное) - ЛСР.pdf</x:v>
      </x:c>
      <x:c r="O123" s="8" t="str">
        <x:v>%</x:v>
      </x:c>
      <x:c r="P123" s="8" t="str">
        <x:v>Раздел 3. Щиты</x:v>
      </x:c>
    </x:row>
    <x:row r="124" ht="39" customHeight="1">
      <x:c r="A124" s="13" t="str">
        <x:v>N115</x:v>
      </x:c>
      <x:c r="B124" s="13" t="str">
        <x:v>Электромонтаж и наружное освещение</x:v>
      </x:c>
      <x:c r="C124" s="13" t="str">
        <x:v>31</x:v>
      </x:c>
      <x:c r="D124" s="13" t="str">
        <x:v>Заземлитель вертикальный из круглой стали диаметром: 16 мм</x:v>
      </x:c>
      <x:c r="E124" s="13" t="str">
        <x:v>10 шт</x:v>
      </x:c>
      <x:c r="F124" s="15" t="n">
        <x:v>0.6</x:v>
      </x:c>
      <x:c r="G124" s="16" t="n">
        <x:v>10</x:v>
      </x:c>
      <x:c r="H124" s="15" t="n">
        <x:f>F124*G124</x:f>
        <x:v>6</x:v>
      </x:c>
      <x:c r="I124" s="13" t="str">
        <x:v>Кандидаты</x:v>
      </x:c>
      <x:c r="J124" s="14" t="n">
        <x:v>1</x:v>
      </x:c>
      <x:c r="K124" s="14" t="n">
        <x:v>0</x:v>
      </x:c>
      <x:c r="L124" s="14" t="n">
        <x:v>1</x:v>
      </x:c>
      <x:c r="M124" s="13" t="str">
        <x:v>Работа с вложенными ресурсами</x:v>
      </x:c>
      <x:c r="N124" s="13" t="str">
        <x:v>6 - Освещение (основное) - ЛСР.pdf</x:v>
      </x:c>
      <x:c r="O124" s="13" t="str">
        <x:v>шт</x:v>
      </x:c>
      <x:c r="P124" s="13" t="str">
        <x:v>Раздел 3. Щиты</x:v>
      </x:c>
    </x:row>
    <x:row r="125" ht="39" customHeight="1">
      <x:c r="A125" s="8" t="str"/>
      <x:c r="B125" s="8" t="str">
        <x:v>Расчётные и корректирующие строки</x:v>
      </x:c>
      <x:c r="C125" s="8" t="str">
        <x:v>31.1</x:v>
      </x:c>
      <x:c r="D125" s="8" t="str">
        <x:v>Вспомогательные ненормируемые материальные ресурсы</x:v>
      </x:c>
      <x:c r="E125" s="8" t="str">
        <x:v>%</x:v>
      </x:c>
      <x:c r="F125" s="11" t="n">
        <x:v>2</x:v>
      </x:c>
      <x:c r="G125" s="12" t="n">
        <x:v>1</x:v>
      </x:c>
      <x:c r="H125" s="11" t="n">
        <x:f>F125*G125</x:f>
        <x:v>2</x:v>
      </x:c>
      <x:c r="I125" s="8" t="str">
        <x:v>Не искать отдельно</x:v>
      </x:c>
      <x:c r="J125" s="10" t="n">
        <x:v>0</x:v>
      </x:c>
      <x:c r="K125" s="10" t="n">
        <x:v>0</x:v>
      </x:c>
      <x:c r="L125" s="10" t="n">
        <x:v>0</x:v>
      </x:c>
      <x:c r="M125" s="8" t="str">
        <x:v>Ресурс родительской работы</x:v>
      </x:c>
      <x:c r="N125" s="8" t="str">
        <x:v>6 - Освещение (основное) - ЛСР.pdf</x:v>
      </x:c>
      <x:c r="O125" s="8" t="str">
        <x:v>%</x:v>
      </x:c>
      <x:c r="P125" s="8" t="str">
        <x:v>Раздел 3. Щиты</x:v>
      </x:c>
    </x:row>
    <x:row r="126" ht="39" customHeight="1">
      <x:c r="A126" s="13" t="str">
        <x:v>N021</x:v>
      </x:c>
      <x:c r="B126" s="13" t="str">
        <x:v>Металлопрокат</x:v>
      </x:c>
      <x:c r="C126" s="13" t="str">
        <x:v>32</x:v>
      </x:c>
      <x:c r="D126" s="13" t="str">
        <x:v>Прокат стальной горячекатаный круглый, марки стали Ст3сп, Ст3пс, диаметр 14-50 мм</x:v>
      </x:c>
      <x:c r="E126" s="13" t="str">
        <x:v>т</x:v>
      </x:c>
      <x:c r="F126" s="15" t="n">
        <x:v>0.0284</x:v>
      </x:c>
      <x:c r="G126" s="16" t="n">
        <x:v>1</x:v>
      </x:c>
      <x:c r="H126" s="15" t="n">
        <x:f>F126*G126</x:f>
        <x:v>0.0284</x:v>
      </x:c>
      <x:c r="I126" s="13" t="str">
        <x:v>Цена не найдена</x:v>
      </x:c>
      <x:c r="J126" s="14" t="n">
        <x:v>1</x:v>
      </x:c>
      <x:c r="K126" s="14" t="n">
        <x:v>0</x:v>
      </x:c>
      <x:c r="L126" s="14" t="n">
        <x:v>1</x:v>
      </x:c>
      <x:c r="M126" s="13" t="str">
        <x:v>Основная строка</x:v>
      </x:c>
      <x:c r="N126" s="13" t="str">
        <x:v>6 - Освещение (основное) - ЛСР.pdf</x:v>
      </x:c>
      <x:c r="O126" s="13" t="str">
        <x:v>т</x:v>
      </x:c>
      <x:c r="P126" s="13" t="str">
        <x:v>Раздел 3. Щиты</x:v>
      </x:c>
    </x:row>
    <x:row r="127" ht="39" customHeight="1">
      <x:c r="A127" s="8" t="str">
        <x:v>N117</x:v>
      </x:c>
      <x:c r="B127" s="8" t="str">
        <x:v>Электромонтаж и наружное освещение</x:v>
      </x:c>
      <x:c r="C127" s="8" t="str">
        <x:v>33</x:v>
      </x:c>
      <x:c r="D127" s="8" t="str">
        <x:v>Заземлитель горизонтальный из стали: полосовой сечением 160 мм2</x:v>
      </x:c>
      <x:c r="E127" s="8" t="str">
        <x:v>100 м</x:v>
      </x:c>
      <x:c r="F127" s="11" t="n">
        <x:v>0.22</x:v>
      </x:c>
      <x:c r="G127" s="12" t="n">
        <x:v>100</x:v>
      </x:c>
      <x:c r="H127" s="11" t="n">
        <x:f>F127*G127</x:f>
        <x:v>22</x:v>
      </x:c>
      <x:c r="I127" s="8" t="str">
        <x:v>Кандидаты</x:v>
      </x:c>
      <x:c r="J127" s="10" t="n">
        <x:v>1</x:v>
      </x:c>
      <x:c r="K127" s="10" t="n">
        <x:v>0</x:v>
      </x:c>
      <x:c r="L127" s="10" t="n">
        <x:v>1</x:v>
      </x:c>
      <x:c r="M127" s="8" t="str">
        <x:v>Работа с вложенными ресурсами</x:v>
      </x:c>
      <x:c r="N127" s="8" t="str">
        <x:v>6 - Освещение (основное) - ЛСР.pdf</x:v>
      </x:c>
      <x:c r="O127" s="8" t="str">
        <x:v>м</x:v>
      </x:c>
      <x:c r="P127" s="8" t="str">
        <x:v>Раздел 3. Щиты</x:v>
      </x:c>
    </x:row>
    <x:row r="128" ht="39" customHeight="1">
      <x:c r="A128" s="13" t="str"/>
      <x:c r="B128" s="13" t="str">
        <x:v>Расчётные и корректирующие строки</x:v>
      </x:c>
      <x:c r="C128" s="13" t="str">
        <x:v>33.1</x:v>
      </x:c>
      <x:c r="D128" s="13" t="str">
        <x:v>Вспомогательные ненормируемые материальные ресурсы</x:v>
      </x:c>
      <x:c r="E128" s="13" t="str">
        <x:v>%</x:v>
      </x:c>
      <x:c r="F128" s="15" t="n">
        <x:v>2</x:v>
      </x:c>
      <x:c r="G128" s="16" t="n">
        <x:v>1</x:v>
      </x:c>
      <x:c r="H128" s="15" t="n">
        <x:f>F128*G128</x:f>
        <x:v>2</x:v>
      </x:c>
      <x:c r="I128" s="13" t="str">
        <x:v>Не искать отдельно</x:v>
      </x:c>
      <x:c r="J128" s="14" t="n">
        <x:v>0</x:v>
      </x:c>
      <x:c r="K128" s="14" t="n">
        <x:v>0</x:v>
      </x:c>
      <x:c r="L128" s="14" t="n">
        <x:v>0</x:v>
      </x:c>
      <x:c r="M128" s="13" t="str">
        <x:v>Ресурс родительской работы</x:v>
      </x:c>
      <x:c r="N128" s="13" t="str">
        <x:v>6 - Освещение (основное) - ЛСР.pdf</x:v>
      </x:c>
      <x:c r="O128" s="13" t="str">
        <x:v>%</x:v>
      </x:c>
      <x:c r="P128" s="13" t="str">
        <x:v>Раздел 3. Щиты</x:v>
      </x:c>
    </x:row>
    <x:row r="129" ht="39" customHeight="1">
      <x:c r="A129" s="8" t="str">
        <x:v>N022</x:v>
      </x:c>
      <x:c r="B129" s="8" t="str">
        <x:v>Металлопрокат</x:v>
      </x:c>
      <x:c r="C129" s="8" t="str">
        <x:v>34</x:v>
      </x:c>
      <x:c r="D129" s="8" t="str">
        <x:v>Прокат стальной горячекатаный полосовой, марки стали Ст3сп, Ст3пс, размеры 40х4 мм</x:v>
      </x:c>
      <x:c r="E129" s="8" t="str">
        <x:v>т</x:v>
      </x:c>
      <x:c r="F129" s="11" t="n">
        <x:v>0.0276</x:v>
      </x:c>
      <x:c r="G129" s="12" t="n">
        <x:v>1</x:v>
      </x:c>
      <x:c r="H129" s="11" t="n">
        <x:f>F129*G129</x:f>
        <x:v>0.0276</x:v>
      </x:c>
      <x:c r="I129" s="8" t="str">
        <x:v>Кандидаты</x:v>
      </x:c>
      <x:c r="J129" s="10" t="n">
        <x:v>1</x:v>
      </x:c>
      <x:c r="K129" s="10" t="n">
        <x:v>0</x:v>
      </x:c>
      <x:c r="L129" s="10" t="n">
        <x:v>1</x:v>
      </x:c>
      <x:c r="M129" s="8" t="str">
        <x:v>Основная строка</x:v>
      </x:c>
      <x:c r="N129" s="8" t="str">
        <x:v>6 - Освещение (основное) - ЛСР.pdf</x:v>
      </x:c>
      <x:c r="O129" s="8" t="str">
        <x:v>т</x:v>
      </x:c>
      <x:c r="P129" s="8" t="str">
        <x:v>Раздел 3. Щиты</x:v>
      </x:c>
    </x:row>
    <x:row r="130" ht="39" customHeight="1">
      <x:c r="A130" s="13" t="str">
        <x:v>N123</x:v>
      </x:c>
      <x:c r="B130" s="13" t="str">
        <x:v>Электромонтаж и наружное освещение</x:v>
      </x:c>
      <x:c r="C130" s="13" t="str">
        <x:v>35</x:v>
      </x:c>
      <x:c r="D130" s="13" t="str">
        <x:v>Шкаф (пульт) управления навесной, высота, ширина и глубина: до 600х600х350 мм</x:v>
      </x:c>
      <x:c r="E130" s="13" t="str">
        <x:v>шт</x:v>
      </x:c>
      <x:c r="F130" s="15" t="n">
        <x:v>1</x:v>
      </x:c>
      <x:c r="G130" s="16" t="n">
        <x:v>1</x:v>
      </x:c>
      <x:c r="H130" s="15" t="n">
        <x:f>F130*G130</x:f>
        <x:v>1</x:v>
      </x:c>
      <x:c r="I130" s="13" t="str">
        <x:v>Кандидаты</x:v>
      </x:c>
      <x:c r="J130" s="14" t="n">
        <x:v>1</x:v>
      </x:c>
      <x:c r="K130" s="14" t="n">
        <x:v>0</x:v>
      </x:c>
      <x:c r="L130" s="14" t="n">
        <x:v>1</x:v>
      </x:c>
      <x:c r="M130" s="13" t="str">
        <x:v>Работа с вложенными ресурсами</x:v>
      </x:c>
      <x:c r="N130" s="13" t="str">
        <x:v>6 - Освещение (основное) - ЛСР.pdf</x:v>
      </x:c>
      <x:c r="O130" s="13" t="str">
        <x:v>шт</x:v>
      </x:c>
      <x:c r="P130" s="13" t="str">
        <x:v>Раздел 3. Щиты</x:v>
      </x:c>
    </x:row>
    <x:row r="131" ht="39" customHeight="1">
      <x:c r="A131" s="8" t="str"/>
      <x:c r="B131" s="8" t="str">
        <x:v>Расчётные и корректирующие строки</x:v>
      </x:c>
      <x:c r="C131" s="8" t="str">
        <x:v>35.1</x:v>
      </x:c>
      <x:c r="D131" s="8" t="str">
        <x:v>Вспомогательные ненормируемые материальные ресурсы</x:v>
      </x:c>
      <x:c r="E131" s="8" t="str">
        <x:v>%</x:v>
      </x:c>
      <x:c r="F131" s="11" t="n">
        <x:v>2</x:v>
      </x:c>
      <x:c r="G131" s="12" t="n">
        <x:v>1</x:v>
      </x:c>
      <x:c r="H131" s="11" t="n">
        <x:f>F131*G131</x:f>
        <x:v>2</x:v>
      </x:c>
      <x:c r="I131" s="8" t="str">
        <x:v>Не искать отдельно</x:v>
      </x:c>
      <x:c r="J131" s="10" t="n">
        <x:v>0</x:v>
      </x:c>
      <x:c r="K131" s="10" t="n">
        <x:v>0</x:v>
      </x:c>
      <x:c r="L131" s="10" t="n">
        <x:v>0</x:v>
      </x:c>
      <x:c r="M131" s="8" t="str">
        <x:v>Ресурс родительской работы</x:v>
      </x:c>
      <x:c r="N131" s="8" t="str">
        <x:v>6 - Освещение (основное) - ЛСР.pdf</x:v>
      </x:c>
      <x:c r="O131" s="8" t="str">
        <x:v>%</x:v>
      </x:c>
      <x:c r="P131" s="8" t="str">
        <x:v>Раздел 3. Щиты</x:v>
      </x:c>
    </x:row>
    <x:row r="132" ht="39" customHeight="1">
      <x:c r="A132" s="13" t="str">
        <x:v>N122</x:v>
      </x:c>
      <x:c r="B132" s="13" t="str">
        <x:v>Электромонтаж и наружное освещение</x:v>
      </x:c>
      <x:c r="C132" s="13" t="str">
        <x:v>36</x:v>
      </x:c>
      <x:c r="D132" s="13" t="str">
        <x:v>Пульт управления напольный, высота до 1200 мм, глубина и ширина по фронту: до 700х600 мм</x:v>
      </x:c>
      <x:c r="E132" s="13" t="str">
        <x:v>шт</x:v>
      </x:c>
      <x:c r="F132" s="15" t="n">
        <x:v>1</x:v>
      </x:c>
      <x:c r="G132" s="16" t="n">
        <x:v>1</x:v>
      </x:c>
      <x:c r="H132" s="15" t="n">
        <x:f>F132*G132</x:f>
        <x:v>1</x:v>
      </x:c>
      <x:c r="I132" s="13" t="str">
        <x:v>Цена не найдена</x:v>
      </x:c>
      <x:c r="J132" s="14" t="n">
        <x:v>1</x:v>
      </x:c>
      <x:c r="K132" s="14" t="n">
        <x:v>0</x:v>
      </x:c>
      <x:c r="L132" s="14" t="n">
        <x:v>1</x:v>
      </x:c>
      <x:c r="M132" s="13" t="str">
        <x:v>Работа с вложенными ресурсами</x:v>
      </x:c>
      <x:c r="N132" s="13" t="str">
        <x:v>6 - Освещение (основное) - ЛСР.pdf</x:v>
      </x:c>
      <x:c r="O132" s="13" t="str">
        <x:v>шт</x:v>
      </x:c>
      <x:c r="P132" s="13" t="str">
        <x:v>Раздел 3. Щиты</x:v>
      </x:c>
    </x:row>
    <x:row r="133" ht="39" customHeight="1">
      <x:c r="A133" s="8" t="str"/>
      <x:c r="B133" s="8" t="str">
        <x:v>Расчётные и корректирующие строки</x:v>
      </x:c>
      <x:c r="C133" s="8" t="str">
        <x:v>36.1</x:v>
      </x:c>
      <x:c r="D133" s="8" t="str">
        <x:v>Вспомогательные ненормируемые материальные ресурсы</x:v>
      </x:c>
      <x:c r="E133" s="8" t="str">
        <x:v>%</x:v>
      </x:c>
      <x:c r="F133" s="11" t="n">
        <x:v>2</x:v>
      </x:c>
      <x:c r="G133" s="12" t="n">
        <x:v>1</x:v>
      </x:c>
      <x:c r="H133" s="11" t="n">
        <x:f>F133*G133</x:f>
        <x:v>2</x:v>
      </x:c>
      <x:c r="I133" s="8" t="str">
        <x:v>Не искать отдельно</x:v>
      </x:c>
      <x:c r="J133" s="10" t="n">
        <x:v>0</x:v>
      </x:c>
      <x:c r="K133" s="10" t="n">
        <x:v>0</x:v>
      </x:c>
      <x:c r="L133" s="10" t="n">
        <x:v>0</x:v>
      </x:c>
      <x:c r="M133" s="8" t="str">
        <x:v>Ресурс родительской работы</x:v>
      </x:c>
      <x:c r="N133" s="8" t="str">
        <x:v>6 - Освещение (основное) - ЛСР.pdf</x:v>
      </x:c>
      <x:c r="O133" s="8" t="str">
        <x:v>%</x:v>
      </x:c>
      <x:c r="P133" s="8" t="str">
        <x:v>Раздел 3. Щиты</x:v>
      </x:c>
    </x:row>
    <x:row r="134" ht="39" customHeight="1">
      <x:c r="A134" s="13" t="str">
        <x:v>N124</x:v>
      </x:c>
      <x:c r="B134" s="13" t="str">
        <x:v>Электромонтаж и наружное освещение</x:v>
      </x:c>
      <x:c r="C134" s="13" t="str">
        <x:v>37</x:v>
      </x:c>
      <x:c r="D134" s="13" t="str">
        <x:v>Заземлитель горизонтальный из стали: круглой диаметром 12 мм</x:v>
      </x:c>
      <x:c r="E134" s="13" t="str">
        <x:v>100 м</x:v>
      </x:c>
      <x:c r="F134" s="15" t="n">
        <x:v>0.516</x:v>
      </x:c>
      <x:c r="G134" s="16" t="n">
        <x:v>100</x:v>
      </x:c>
      <x:c r="H134" s="15" t="n">
        <x:f>F134*G134</x:f>
        <x:v>51.6</x:v>
      </x:c>
      <x:c r="I134" s="13" t="str">
        <x:v>Кандидаты</x:v>
      </x:c>
      <x:c r="J134" s="14" t="n">
        <x:v>1</x:v>
      </x:c>
      <x:c r="K134" s="14" t="n">
        <x:v>0</x:v>
      </x:c>
      <x:c r="L134" s="14" t="n">
        <x:v>1</x:v>
      </x:c>
      <x:c r="M134" s="13" t="str">
        <x:v>Работа с вложенными ресурсами</x:v>
      </x:c>
      <x:c r="N134" s="13" t="str">
        <x:v>6 - Освещение (основное) - ЛСР.pdf</x:v>
      </x:c>
      <x:c r="O134" s="13" t="str">
        <x:v>м</x:v>
      </x:c>
      <x:c r="P134" s="13" t="str">
        <x:v>Раздел 4. Заземление</x:v>
      </x:c>
    </x:row>
    <x:row r="135" ht="39" customHeight="1">
      <x:c r="A135" s="8" t="str"/>
      <x:c r="B135" s="8" t="str">
        <x:v>Расчётные и корректирующие строки</x:v>
      </x:c>
      <x:c r="C135" s="8" t="str">
        <x:v>37.1</x:v>
      </x:c>
      <x:c r="D135" s="8" t="str">
        <x:v>Вспомогательные ненормируемые материальные ресурсы</x:v>
      </x:c>
      <x:c r="E135" s="8" t="str">
        <x:v>%</x:v>
      </x:c>
      <x:c r="F135" s="11" t="n">
        <x:v>2</x:v>
      </x:c>
      <x:c r="G135" s="12" t="n">
        <x:v>1</x:v>
      </x:c>
      <x:c r="H135" s="11" t="n">
        <x:f>F135*G135</x:f>
        <x:v>2</x:v>
      </x:c>
      <x:c r="I135" s="8" t="str">
        <x:v>Не искать отдельно</x:v>
      </x:c>
      <x:c r="J135" s="10" t="n">
        <x:v>0</x:v>
      </x:c>
      <x:c r="K135" s="10" t="n">
        <x:v>0</x:v>
      </x:c>
      <x:c r="L135" s="10" t="n">
        <x:v>0</x:v>
      </x:c>
      <x:c r="M135" s="8" t="str">
        <x:v>Ресурс родительской работы</x:v>
      </x:c>
      <x:c r="N135" s="8" t="str">
        <x:v>6 - Освещение (основное) - ЛСР.pdf</x:v>
      </x:c>
      <x:c r="O135" s="8" t="str">
        <x:v>%</x:v>
      </x:c>
      <x:c r="P135" s="8" t="str">
        <x:v>Раздел 4. Заземление</x:v>
      </x:c>
    </x:row>
    <x:row r="136" ht="39" customHeight="1">
      <x:c r="A136" s="13" t="str">
        <x:v>N024</x:v>
      </x:c>
      <x:c r="B136" s="13" t="str">
        <x:v>Металлопрокат</x:v>
      </x:c>
      <x:c r="C136" s="13" t="str">
        <x:v>38</x:v>
      </x:c>
      <x:c r="D136" s="13" t="str">
        <x:v>Прокат стальной горячекатаный круглый, марки стали Ст3сп, Ст3пс, диаметр 5-12 мм - ф12 мм (1мп-0,888 кг)</x:v>
      </x:c>
      <x:c r="E136" s="13" t="str">
        <x:v>т</x:v>
      </x:c>
      <x:c r="F136" s="15" t="n">
        <x:v>0.04582</x:v>
      </x:c>
      <x:c r="G136" s="16" t="n">
        <x:v>1</x:v>
      </x:c>
      <x:c r="H136" s="15" t="n">
        <x:f>F136*G136</x:f>
        <x:v>0.04582</x:v>
      </x:c>
      <x:c r="I136" s="13" t="str">
        <x:v>Кандидаты</x:v>
      </x:c>
      <x:c r="J136" s="14" t="n">
        <x:v>1</x:v>
      </x:c>
      <x:c r="K136" s="14" t="n">
        <x:v>0</x:v>
      </x:c>
      <x:c r="L136" s="14" t="n">
        <x:v>1</x:v>
      </x:c>
      <x:c r="M136" s="13" t="str">
        <x:v>Основная строка</x:v>
      </x:c>
      <x:c r="N136" s="13" t="str">
        <x:v>6 - Освещение (основное) - ЛСР.pdf</x:v>
      </x:c>
      <x:c r="O136" s="13" t="str">
        <x:v>т</x:v>
      </x:c>
      <x:c r="P136" s="13" t="str">
        <x:v>Раздел 4. Заземление</x:v>
      </x:c>
    </x:row>
    <x:row r="137" ht="39" customHeight="1">
      <x:c r="A137" s="8" t="str">
        <x:v>N115</x:v>
      </x:c>
      <x:c r="B137" s="8" t="str">
        <x:v>Электромонтаж и наружное освещение</x:v>
      </x:c>
      <x:c r="C137" s="8" t="str">
        <x:v>39</x:v>
      </x:c>
      <x:c r="D137" s="8" t="str">
        <x:v>Заземлитель вертикальный из круглой стали диаметром: 16 мм</x:v>
      </x:c>
      <x:c r="E137" s="8" t="str">
        <x:v>10 шт</x:v>
      </x:c>
      <x:c r="F137" s="11" t="n">
        <x:v>8.6</x:v>
      </x:c>
      <x:c r="G137" s="12" t="n">
        <x:v>10</x:v>
      </x:c>
      <x:c r="H137" s="11" t="n">
        <x:f>F137*G137</x:f>
        <x:v>86</x:v>
      </x:c>
      <x:c r="I137" s="8" t="str">
        <x:v>Кандидаты</x:v>
      </x:c>
      <x:c r="J137" s="10" t="n">
        <x:v>1</x:v>
      </x:c>
      <x:c r="K137" s="10" t="n">
        <x:v>0</x:v>
      </x:c>
      <x:c r="L137" s="10" t="n">
        <x:v>1</x:v>
      </x:c>
      <x:c r="M137" s="8" t="str">
        <x:v>Работа с вложенными ресурсами</x:v>
      </x:c>
      <x:c r="N137" s="8" t="str">
        <x:v>6 - Освещение (основное) - ЛСР.pdf</x:v>
      </x:c>
      <x:c r="O137" s="8" t="str">
        <x:v>шт</x:v>
      </x:c>
      <x:c r="P137" s="8" t="str">
        <x:v>Раздел 4. Заземление</x:v>
      </x:c>
    </x:row>
    <x:row r="138" ht="39" customHeight="1">
      <x:c r="A138" s="13" t="str"/>
      <x:c r="B138" s="13" t="str">
        <x:v>Расчётные и корректирующие строки</x:v>
      </x:c>
      <x:c r="C138" s="13" t="str">
        <x:v>39.1</x:v>
      </x:c>
      <x:c r="D138" s="13" t="str">
        <x:v>Вспомогательные ненормируемые материальные ресурсы</x:v>
      </x:c>
      <x:c r="E138" s="13" t="str">
        <x:v>%</x:v>
      </x:c>
      <x:c r="F138" s="15" t="n">
        <x:v>2</x:v>
      </x:c>
      <x:c r="G138" s="16" t="n">
        <x:v>1</x:v>
      </x:c>
      <x:c r="H138" s="15" t="n">
        <x:f>F138*G138</x:f>
        <x:v>2</x:v>
      </x:c>
      <x:c r="I138" s="13" t="str">
        <x:v>Не искать отдельно</x:v>
      </x:c>
      <x:c r="J138" s="14" t="n">
        <x:v>0</x:v>
      </x:c>
      <x:c r="K138" s="14" t="n">
        <x:v>0</x:v>
      </x:c>
      <x:c r="L138" s="14" t="n">
        <x:v>0</x:v>
      </x:c>
      <x:c r="M138" s="13" t="str">
        <x:v>Ресурс родительской работы</x:v>
      </x:c>
      <x:c r="N138" s="13" t="str">
        <x:v>6 - Освещение (основное) - ЛСР.pdf</x:v>
      </x:c>
      <x:c r="O138" s="13" t="str">
        <x:v>%</x:v>
      </x:c>
      <x:c r="P138" s="13" t="str">
        <x:v>Раздел 4. Заземление</x:v>
      </x:c>
    </x:row>
    <x:row r="139" ht="39" customHeight="1">
      <x:c r="A139" s="8" t="str">
        <x:v>N023</x:v>
      </x:c>
      <x:c r="B139" s="8" t="str">
        <x:v>Металлопрокат</x:v>
      </x:c>
      <x:c r="C139" s="8" t="str">
        <x:v>40</x:v>
      </x:c>
      <x:c r="D139" s="8" t="str">
        <x:v>Прокат стальной горячекатаный круглый, марки стали Ст3сп, Ст3пс, диаметр 14-50 мм - ф 16 мм (1мп-1,58 кг)</x:v>
      </x:c>
      <x:c r="E139" s="8" t="str">
        <x:v>т</x:v>
      </x:c>
      <x:c r="F139" s="11" t="n">
        <x:v>0.40764</x:v>
      </x:c>
      <x:c r="G139" s="12" t="n">
        <x:v>1</x:v>
      </x:c>
      <x:c r="H139" s="11" t="n">
        <x:f>F139*G139</x:f>
        <x:v>0.40764</x:v>
      </x:c>
      <x:c r="I139" s="8" t="str">
        <x:v>Кандидаты</x:v>
      </x:c>
      <x:c r="J139" s="10" t="n">
        <x:v>1</x:v>
      </x:c>
      <x:c r="K139" s="10" t="n">
        <x:v>0</x:v>
      </x:c>
      <x:c r="L139" s="10" t="n">
        <x:v>1</x:v>
      </x:c>
      <x:c r="M139" s="8" t="str">
        <x:v>Основная строка</x:v>
      </x:c>
      <x:c r="N139" s="8" t="str">
        <x:v>6 - Освещение (основное) - ЛСР.pdf</x:v>
      </x:c>
      <x:c r="O139" s="8" t="str">
        <x:v>т</x:v>
      </x:c>
      <x:c r="P139" s="8" t="str">
        <x:v>Раздел 4. Заземление</x:v>
      </x:c>
    </x:row>
    <x:row r="140" ht="39" customHeight="1">
      <x:c r="A140" s="13" t="str">
        <x:v>N048</x:v>
      </x:c>
      <x:c r="B140" s="13" t="str">
        <x:v>Щиты и электротехнические изделия</x:v>
      </x:c>
      <x:c r="C140" s="13" t="str">
        <x:v>41</x:v>
      </x:c>
      <x:c r="D140" s="13" t="str">
        <x:v>Щит с монтажной панелью, размеры 800х600х250 мм, степень защиты IP66 - Корпус металлический ЩМП-4-0 74 У1 IP65</x:v>
      </x:c>
      <x:c r="E140" s="13" t="str">
        <x:v>шт</x:v>
      </x:c>
      <x:c r="F140" s="15" t="n">
        <x:v>1</x:v>
      </x:c>
      <x:c r="G140" s="16" t="n">
        <x:v>1</x:v>
      </x:c>
      <x:c r="H140" s="15" t="n">
        <x:f>F140*G140</x:f>
        <x:v>1</x:v>
      </x:c>
      <x:c r="I140" s="13" t="str">
        <x:v>Кандидаты</x:v>
      </x:c>
      <x:c r="J140" s="14" t="n">
        <x:v>1</x:v>
      </x:c>
      <x:c r="K140" s="14" t="n">
        <x:v>0</x:v>
      </x:c>
      <x:c r="L140" s="14" t="n">
        <x:v>1</x:v>
      </x:c>
      <x:c r="M140" s="13" t="str">
        <x:v>Основная строка</x:v>
      </x:c>
      <x:c r="N140" s="13" t="str">
        <x:v>6 - Освещение (основное) - ЛСР.pdf</x:v>
      </x:c>
      <x:c r="O140" s="13" t="str">
        <x:v>шт</x:v>
      </x:c>
      <x:c r="P140" s="13" t="str">
        <x:v>Раздел 5. Материалы и оборудование</x:v>
      </x:c>
    </x:row>
    <x:row r="141" ht="39" customHeight="1">
      <x:c r="A141" s="8" t="str">
        <x:v>N052</x:v>
      </x:c>
      <x:c r="B141" s="8" t="str">
        <x:v>Щиты и электротехнические изделия</x:v>
      </x:c>
      <x:c r="C141" s="8" t="str">
        <x:v>42</x:v>
      </x:c>
      <x:c r="D141" s="8" t="str">
        <x:v>Выключатель автоматический 3п 63А 35кА ВА 88-35</x:v>
      </x:c>
      <x:c r="E141" s="8" t="str">
        <x:v>шт</x:v>
      </x:c>
      <x:c r="F141" s="11" t="n">
        <x:v>1</x:v>
      </x:c>
      <x:c r="G141" s="12" t="n">
        <x:v>1</x:v>
      </x:c>
      <x:c r="H141" s="11" t="n">
        <x:f>F141*G141</x:f>
        <x:v>1</x:v>
      </x:c>
      <x:c r="I141" s="8" t="str">
        <x:v>Цена есть</x:v>
      </x:c>
      <x:c r="J141" s="10" t="n">
        <x:v>0</x:v>
      </x:c>
      <x:c r="K141" s="10" t="n">
        <x:v>1</x:v>
      </x:c>
      <x:c r="L141" s="10" t="n">
        <x:v>1</x:v>
      </x:c>
      <x:c r="M141" s="8" t="str">
        <x:v>Основная строка</x:v>
      </x:c>
      <x:c r="N141" s="8" t="str">
        <x:v>6 - Освещение (основное) - ЛСР.pdf</x:v>
      </x:c>
      <x:c r="O141" s="8" t="str">
        <x:v>шт</x:v>
      </x:c>
      <x:c r="P141" s="8" t="str">
        <x:v>Раздел 5. Материалы и оборудование</x:v>
      </x:c>
    </x:row>
    <x:row r="142" ht="39" customHeight="1">
      <x:c r="A142" s="13" t="str">
        <x:v>N037</x:v>
      </x:c>
      <x:c r="B142" s="13" t="str">
        <x:v>Щиты и электротехнические изделия</x:v>
      </x:c>
      <x:c r="C142" s="13" t="str">
        <x:v>43</x:v>
      </x:c>
      <x:c r="D142" s="13" t="str">
        <x:v>Выключатель автоматический 1P, 20 А, 10 кА, характеристика D</x:v>
      </x:c>
      <x:c r="E142" s="13" t="str">
        <x:v>шт</x:v>
      </x:c>
      <x:c r="F142" s="15" t="n">
        <x:v>6</x:v>
      </x:c>
      <x:c r="G142" s="16" t="n">
        <x:v>1</x:v>
      </x:c>
      <x:c r="H142" s="15" t="n">
        <x:f>F142*G142</x:f>
        <x:v>6</x:v>
      </x:c>
      <x:c r="I142" s="13" t="str">
        <x:v>Кандидаты</x:v>
      </x:c>
      <x:c r="J142" s="14" t="n">
        <x:v>1</x:v>
      </x:c>
      <x:c r="K142" s="14" t="n">
        <x:v>0</x:v>
      </x:c>
      <x:c r="L142" s="14" t="n">
        <x:v>1</x:v>
      </x:c>
      <x:c r="M142" s="13" t="str">
        <x:v>Основная строка</x:v>
      </x:c>
      <x:c r="N142" s="13" t="str">
        <x:v>6 - Освещение (основное) - ЛСР.pdf</x:v>
      </x:c>
      <x:c r="O142" s="13" t="str">
        <x:v>шт</x:v>
      </x:c>
      <x:c r="P142" s="13" t="str">
        <x:v>Раздел 5. Материалы и оборудование</x:v>
      </x:c>
    </x:row>
    <x:row r="143" ht="39" customHeight="1">
      <x:c r="A143" s="8" t="str">
        <x:v>N045</x:v>
      </x:c>
      <x:c r="B143" s="8" t="str">
        <x:v>Щиты и электротехнические изделия</x:v>
      </x:c>
      <x:c r="C143" s="8" t="str">
        <x:v>44</x:v>
      </x:c>
      <x:c r="D143" s="8" t="str">
        <x:v>УЗИП (Устройство защиты от импульсных перенапряжений) РИФ-Э-I+II 275/12,5 с (3+0)</x:v>
      </x:c>
      <x:c r="E143" s="8" t="str">
        <x:v>шт</x:v>
      </x:c>
      <x:c r="F143" s="11" t="n">
        <x:v>1</x:v>
      </x:c>
      <x:c r="G143" s="12" t="n">
        <x:v>1</x:v>
      </x:c>
      <x:c r="H143" s="11" t="n">
        <x:f>F143*G143</x:f>
        <x:v>1</x:v>
      </x:c>
      <x:c r="I143" s="8" t="str">
        <x:v>Кандидаты</x:v>
      </x:c>
      <x:c r="J143" s="10" t="n">
        <x:v>1</x:v>
      </x:c>
      <x:c r="K143" s="10" t="n">
        <x:v>0</x:v>
      </x:c>
      <x:c r="L143" s="10" t="n">
        <x:v>1</x:v>
      </x:c>
      <x:c r="M143" s="8" t="str">
        <x:v>Основная строка</x:v>
      </x:c>
      <x:c r="N143" s="8" t="str">
        <x:v>6 - Освещение (основное) - ЛСР.pdf</x:v>
      </x:c>
      <x:c r="O143" s="8" t="str">
        <x:v>шт</x:v>
      </x:c>
      <x:c r="P143" s="8" t="str">
        <x:v>Раздел 5. Материалы и оборудование</x:v>
      </x:c>
    </x:row>
    <x:row r="144" ht="39" customHeight="1">
      <x:c r="A144" s="13" t="str">
        <x:v>N047</x:v>
      </x:c>
      <x:c r="B144" s="13" t="str">
        <x:v>Щиты и электротехнические изделия</x:v>
      </x:c>
      <x:c r="C144" s="13" t="str">
        <x:v>45</x:v>
      </x:c>
      <x:c r="D144" s="13" t="str">
        <x:v>Щит с монтажной панелью, размеры 1600х800х400 мм, степень защиты IP66 - Корпус металлический ЩМП-16.8.4-0 У2 IP54</x:v>
      </x:c>
      <x:c r="E144" s="13" t="str">
        <x:v>шт</x:v>
      </x:c>
      <x:c r="F144" s="15" t="n">
        <x:v>1</x:v>
      </x:c>
      <x:c r="G144" s="16" t="n">
        <x:v>1</x:v>
      </x:c>
      <x:c r="H144" s="15" t="n">
        <x:f>F144*G144</x:f>
        <x:v>1</x:v>
      </x:c>
      <x:c r="I144" s="13" t="str">
        <x:v>Кандидаты</x:v>
      </x:c>
      <x:c r="J144" s="14" t="n">
        <x:v>1</x:v>
      </x:c>
      <x:c r="K144" s="14" t="n">
        <x:v>0</x:v>
      </x:c>
      <x:c r="L144" s="14" t="n">
        <x:v>1</x:v>
      </x:c>
      <x:c r="M144" s="13" t="str">
        <x:v>Основная строка</x:v>
      </x:c>
      <x:c r="N144" s="13" t="str">
        <x:v>6 - Освещение (основное) - ЛСР.pdf</x:v>
      </x:c>
      <x:c r="O144" s="13" t="str">
        <x:v>шт</x:v>
      </x:c>
      <x:c r="P144" s="13" t="str">
        <x:v>Раздел 5. Материалы и оборудование</x:v>
      </x:c>
    </x:row>
    <x:row r="145" ht="39" customHeight="1">
      <x:c r="A145" s="8" t="str">
        <x:v>N051</x:v>
      </x:c>
      <x:c r="B145" s="8" t="str">
        <x:v>Щиты и электротехнические изделия</x:v>
      </x:c>
      <x:c r="C145" s="8" t="str">
        <x:v>46</x:v>
      </x:c>
      <x:c r="D145" s="8" t="str">
        <x:v>Автоматический выключатель ИЭК ВА88-35 3Р 160А 35кА</x:v>
      </x:c>
      <x:c r="E145" s="8" t="str">
        <x:v>шт</x:v>
      </x:c>
      <x:c r="F145" s="11" t="n">
        <x:v>1</x:v>
      </x:c>
      <x:c r="G145" s="12" t="n">
        <x:v>1</x:v>
      </x:c>
      <x:c r="H145" s="11" t="n">
        <x:f>F145*G145</x:f>
        <x:v>1</x:v>
      </x:c>
      <x:c r="I145" s="8" t="str">
        <x:v>Цена есть</x:v>
      </x:c>
      <x:c r="J145" s="10" t="n">
        <x:v>0</x:v>
      </x:c>
      <x:c r="K145" s="10" t="n">
        <x:v>1</x:v>
      </x:c>
      <x:c r="L145" s="10" t="n">
        <x:v>1</x:v>
      </x:c>
      <x:c r="M145" s="8" t="str">
        <x:v>Основная строка</x:v>
      </x:c>
      <x:c r="N145" s="8" t="str">
        <x:v>6 - Освещение (основное) - ЛСР.pdf</x:v>
      </x:c>
      <x:c r="O145" s="8" t="str">
        <x:v>шт</x:v>
      </x:c>
      <x:c r="P145" s="8" t="str">
        <x:v>Раздел 5. Материалы и оборудование</x:v>
      </x:c>
    </x:row>
    <x:row r="146" ht="39" customHeight="1">
      <x:c r="A146" s="13" t="str">
        <x:v>N038</x:v>
      </x:c>
      <x:c r="B146" s="13" t="str">
        <x:v>Щиты и электротехнические изделия</x:v>
      </x:c>
      <x:c r="C146" s="13" t="str">
        <x:v>47</x:v>
      </x:c>
      <x:c r="D146" s="13" t="str">
        <x:v>Выключатель автоматический 3п 50А ВА</x:v>
      </x:c>
      <x:c r="E146" s="13" t="str">
        <x:v>шт</x:v>
      </x:c>
      <x:c r="F146" s="15" t="n">
        <x:v>1</x:v>
      </x:c>
      <x:c r="G146" s="16" t="n">
        <x:v>1</x:v>
      </x:c>
      <x:c r="H146" s="15" t="n">
        <x:f>F146*G146</x:f>
        <x:v>1</x:v>
      </x:c>
      <x:c r="I146" s="13" t="str">
        <x:v>Кандидаты</x:v>
      </x:c>
      <x:c r="J146" s="14" t="n">
        <x:v>1</x:v>
      </x:c>
      <x:c r="K146" s="14" t="n">
        <x:v>0</x:v>
      </x:c>
      <x:c r="L146" s="14" t="n">
        <x:v>1</x:v>
      </x:c>
      <x:c r="M146" s="13" t="str">
        <x:v>Основная строка</x:v>
      </x:c>
      <x:c r="N146" s="13" t="str">
        <x:v>6 - Освещение (основное) - ЛСР.pdf</x:v>
      </x:c>
      <x:c r="O146" s="13" t="str">
        <x:v>шт</x:v>
      </x:c>
      <x:c r="P146" s="13" t="str">
        <x:v>Раздел 5. Материалы и оборудование</x:v>
      </x:c>
    </x:row>
    <x:row r="147" ht="39" customHeight="1">
      <x:c r="A147" s="8" t="str">
        <x:v>N053</x:v>
      </x:c>
      <x:c r="B147" s="8" t="str">
        <x:v>Щиты и электротехнические изделия</x:v>
      </x:c>
      <x:c r="C147" s="8" t="str">
        <x:v>48</x:v>
      </x:c>
      <x:c r="D147" s="8" t="str">
        <x:v>Изолятор ступенчатый ИС4-30 (М8) силовой с болтом</x:v>
      </x:c>
      <x:c r="E147" s="8" t="str">
        <x:v>шт</x:v>
      </x:c>
      <x:c r="F147" s="11" t="n">
        <x:v>2</x:v>
      </x:c>
      <x:c r="G147" s="12" t="n">
        <x:v>1</x:v>
      </x:c>
      <x:c r="H147" s="11" t="n">
        <x:f>F147*G147</x:f>
        <x:v>2</x:v>
      </x:c>
      <x:c r="I147" s="8" t="str">
        <x:v>Цена есть</x:v>
      </x:c>
      <x:c r="J147" s="10" t="n">
        <x:v>0</x:v>
      </x:c>
      <x:c r="K147" s="10" t="n">
        <x:v>1</x:v>
      </x:c>
      <x:c r="L147" s="10" t="n">
        <x:v>1</x:v>
      </x:c>
      <x:c r="M147" s="8" t="str">
        <x:v>Основная строка</x:v>
      </x:c>
      <x:c r="N147" s="8" t="str">
        <x:v>6 - Освещение (основное) - ЛСР.pdf</x:v>
      </x:c>
      <x:c r="O147" s="8" t="str">
        <x:v>шт</x:v>
      </x:c>
      <x:c r="P147" s="8" t="str">
        <x:v>Раздел 5. Материалы и оборудование</x:v>
      </x:c>
    </x:row>
    <x:row r="148" ht="39" customHeight="1">
      <x:c r="A148" s="13" t="str">
        <x:v>N039</x:v>
      </x:c>
      <x:c r="B148" s="13" t="str">
        <x:v>Щиты и электротехнические изделия</x:v>
      </x:c>
      <x:c r="C148" s="13" t="str">
        <x:v>49</x:v>
      </x:c>
      <x:c r="D148" s="13" t="str">
        <x:v>Комплект расширительных выводов КЭАЗ для ВА04-36/ВА51-35/ВА57-35</x:v>
      </x:c>
      <x:c r="E148" s="13" t="str">
        <x:v>комп</x:v>
      </x:c>
      <x:c r="F148" s="15" t="n">
        <x:v>3</x:v>
      </x:c>
      <x:c r="G148" s="16" t="n">
        <x:v>1</x:v>
      </x:c>
      <x:c r="H148" s="15" t="n">
        <x:f>F148*G148</x:f>
        <x:v>3</x:v>
      </x:c>
      <x:c r="I148" s="13" t="str">
        <x:v>Кандидаты</x:v>
      </x:c>
      <x:c r="J148" s="14" t="n">
        <x:v>1</x:v>
      </x:c>
      <x:c r="K148" s="14" t="n">
        <x:v>0</x:v>
      </x:c>
      <x:c r="L148" s="14" t="n">
        <x:v>1</x:v>
      </x:c>
      <x:c r="M148" s="13" t="str">
        <x:v>Основная строка</x:v>
      </x:c>
      <x:c r="N148" s="13" t="str">
        <x:v>6 - Освещение (основное) - ЛСР.pdf</x:v>
      </x:c>
      <x:c r="O148" s="13" t="str">
        <x:v>компл</x:v>
      </x:c>
      <x:c r="P148" s="13" t="str">
        <x:v>Раздел 5. Материалы и оборудование</x:v>
      </x:c>
    </x:row>
    <x:row r="149" ht="54" customHeight="1">
      <x:c r="A149" s="8" t="str">
        <x:v>N065</x:v>
      </x:c>
      <x:c r="B149" s="8" t="str">
        <x:v>Светильники, опоры и их комплектующие</x:v>
      </x:c>
      <x:c r="C149" s="8" t="str">
        <x:v>50</x:v>
      </x:c>
      <x:c r="D149" s="8" t="str">
        <x:v>ДТУ201n075 Светильник Фобос 05Л ДТУ-201.1-AF-60Вт-3шт(45гр)(3хSpot-05(20Вт))-ОКК 6,0(К200-4М20) (150х70, 02 (4000К), оц+ЧМ, AF0100007472) - А777215</x:v>
      </x:c>
      <x:c r="E149" s="8" t="str">
        <x:v>шт</x:v>
      </x:c>
      <x:c r="F149" s="11" t="n">
        <x:v>2</x:v>
      </x:c>
      <x:c r="G149" s="12" t="n">
        <x:v>1</x:v>
      </x:c>
      <x:c r="H149" s="11" t="n">
        <x:f>F149*G149</x:f>
        <x:v>2</x:v>
      </x:c>
      <x:c r="I149" s="8" t="str">
        <x:v>Кандидаты</x:v>
      </x:c>
      <x:c r="J149" s="10" t="n">
        <x:v>1</x:v>
      </x:c>
      <x:c r="K149" s="10" t="n">
        <x:v>0</x:v>
      </x:c>
      <x:c r="L149" s="10" t="n">
        <x:v>1</x:v>
      </x:c>
      <x:c r="M149" s="8" t="str">
        <x:v>Основная строка</x:v>
      </x:c>
      <x:c r="N149" s="8" t="str">
        <x:v>6 - Освещение (основное) - ЛСР.pdf</x:v>
      </x:c>
      <x:c r="O149" s="8" t="str">
        <x:v>шт</x:v>
      </x:c>
      <x:c r="P149" s="8" t="str">
        <x:v>Раздел 5. Материалы и оборудование</x:v>
      </x:c>
    </x:row>
    <x:row r="150" ht="39" customHeight="1">
      <x:c r="A150" s="13" t="str">
        <x:v>N067</x:v>
      </x:c>
      <x:c r="B150" s="13" t="str">
        <x:v>Светильники, опоры и их комплектующие</x:v>
      </x:c>
      <x:c r="C150" s="13" t="str">
        <x:v>51</x:v>
      </x:c>
      <x:c r="D150" s="13" t="str">
        <x:v>ОПТ4-n021 Закладная ОПТ К200-4М20-2,0(d133)(фл.К280) (AF0300000110) - А777215</x:v>
      </x:c>
      <x:c r="E150" s="13" t="str">
        <x:v>шт</x:v>
      </x:c>
      <x:c r="F150" s="15" t="n">
        <x:v>2</x:v>
      </x:c>
      <x:c r="G150" s="16" t="n">
        <x:v>1</x:v>
      </x:c>
      <x:c r="H150" s="15" t="n">
        <x:f>F150*G150</x:f>
        <x:v>2</x:v>
      </x:c>
      <x:c r="I150" s="13" t="str">
        <x:v>Цена не найдена</x:v>
      </x:c>
      <x:c r="J150" s="14" t="n">
        <x:v>1</x:v>
      </x:c>
      <x:c r="K150" s="14" t="n">
        <x:v>0</x:v>
      </x:c>
      <x:c r="L150" s="14" t="n">
        <x:v>1</x:v>
      </x:c>
      <x:c r="M150" s="13" t="str">
        <x:v>Основная строка</x:v>
      </x:c>
      <x:c r="N150" s="13" t="str">
        <x:v>6 - Освещение (основное) - ЛСР.pdf</x:v>
      </x:c>
      <x:c r="O150" s="13" t="str">
        <x:v>шт</x:v>
      </x:c>
      <x:c r="P150" s="13" t="str">
        <x:v>Раздел 5. Материалы и оборудование</x:v>
      </x:c>
    </x:row>
    <x:row r="151" ht="54" customHeight="1">
      <x:c r="A151" s="8" t="str">
        <x:v>N066</x:v>
      </x:c>
      <x:c r="B151" s="8" t="str">
        <x:v>Светильники, опоры и их комплектующие</x:v>
      </x:c>
      <x:c r="C151" s="8" t="str">
        <x:v>52</x:v>
      </x:c>
      <x:c r="D151" s="8" t="str">
        <x:v>КК-ОПТ-4М20-n009 Крепёж 4х(Болт М20х60, Гайка, Шайба-2шт, Шайба-гровер)+1х(Гайка М8, Шайба М8-2шт) (оц, AF0500000186) - А777215</x:v>
      </x:c>
      <x:c r="E151" s="8" t="str">
        <x:v>шт</x:v>
      </x:c>
      <x:c r="F151" s="11" t="n">
        <x:v>2</x:v>
      </x:c>
      <x:c r="G151" s="12" t="n">
        <x:v>1</x:v>
      </x:c>
      <x:c r="H151" s="11" t="n">
        <x:f>F151*G151</x:f>
        <x:v>2</x:v>
      </x:c>
      <x:c r="I151" s="8" t="str">
        <x:v>Кандидаты</x:v>
      </x:c>
      <x:c r="J151" s="10" t="n">
        <x:v>1</x:v>
      </x:c>
      <x:c r="K151" s="10" t="n">
        <x:v>0</x:v>
      </x:c>
      <x:c r="L151" s="10" t="n">
        <x:v>1</x:v>
      </x:c>
      <x:c r="M151" s="8" t="str">
        <x:v>Основная строка</x:v>
      </x:c>
      <x:c r="N151" s="8" t="str">
        <x:v>6 - Освещение (основное) - ЛСР.pdf</x:v>
      </x:c>
      <x:c r="O151" s="8" t="str">
        <x:v>шт</x:v>
      </x:c>
      <x:c r="P151" s="8" t="str">
        <x:v>Раздел 5. Материалы и оборудование</x:v>
      </x:c>
    </x:row>
    <x:row r="152" ht="39" customHeight="1">
      <x:c r="A152" s="13" t="str">
        <x:v>N064</x:v>
      </x:c>
      <x:c r="B152" s="13" t="str">
        <x:v>Светильники, опоры и их комплектующие</x:v>
      </x:c>
      <x:c r="C152" s="13" t="str">
        <x:v>53</x:v>
      </x:c>
      <x:c r="D152" s="13" t="str">
        <x:v>А777215 КРШ-К300-d122-H120-n08 Крышка сварная (гальв+ЧМ, AF0500000412) - А777215</x:v>
      </x:c>
      <x:c r="E152" s="13" t="str">
        <x:v>шт</x:v>
      </x:c>
      <x:c r="F152" s="15" t="n">
        <x:v>2</x:v>
      </x:c>
      <x:c r="G152" s="16" t="n">
        <x:v>1</x:v>
      </x:c>
      <x:c r="H152" s="15" t="n">
        <x:f>F152*G152</x:f>
        <x:v>2</x:v>
      </x:c>
      <x:c r="I152" s="13" t="str">
        <x:v>Кандидаты</x:v>
      </x:c>
      <x:c r="J152" s="14" t="n">
        <x:v>1</x:v>
      </x:c>
      <x:c r="K152" s="14" t="n">
        <x:v>0</x:v>
      </x:c>
      <x:c r="L152" s="14" t="n">
        <x:v>1</x:v>
      </x:c>
      <x:c r="M152" s="13" t="str">
        <x:v>Основная строка</x:v>
      </x:c>
      <x:c r="N152" s="13" t="str">
        <x:v>6 - Освещение (основное) - ЛСР.pdf</x:v>
      </x:c>
      <x:c r="O152" s="13" t="str">
        <x:v>шт</x:v>
      </x:c>
      <x:c r="P152" s="13" t="str">
        <x:v>Раздел 5. Материалы и оборудование</x:v>
      </x:c>
    </x:row>
    <x:row r="153" ht="39" customHeight="1">
      <x:c r="A153" s="8" t="str">
        <x:v>N055</x:v>
      </x:c>
      <x:c r="B153" s="8" t="str">
        <x:v>Светильники, опоры и их комплектующие</x:v>
      </x:c>
      <x:c r="C153" s="8" t="str">
        <x:v>54</x:v>
      </x:c>
      <x:c r="D153" s="8" t="str">
        <x:v>А777164 SPT05n014 Светильник Spot-05-AF-54Вт (45, 03 (2700-2800К), ЧМ, AF0100003205)</x:v>
      </x:c>
      <x:c r="E153" s="8" t="str">
        <x:v>шт</x:v>
      </x:c>
      <x:c r="F153" s="11" t="n">
        <x:v>25</x:v>
      </x:c>
      <x:c r="G153" s="12" t="n">
        <x:v>1</x:v>
      </x:c>
      <x:c r="H153" s="11" t="n">
        <x:f>F153*G153</x:f>
        <x:v>25</x:v>
      </x:c>
      <x:c r="I153" s="8" t="str">
        <x:v>Цена не найдена</x:v>
      </x:c>
      <x:c r="J153" s="10" t="n">
        <x:v>1</x:v>
      </x:c>
      <x:c r="K153" s="10" t="n">
        <x:v>0</x:v>
      </x:c>
      <x:c r="L153" s="10" t="n">
        <x:v>1</x:v>
      </x:c>
      <x:c r="M153" s="8" t="str">
        <x:v>Основная строка</x:v>
      </x:c>
      <x:c r="N153" s="8" t="str">
        <x:v>6 - Освещение (основное) - ЛСР.pdf</x:v>
      </x:c>
      <x:c r="O153" s="8" t="str">
        <x:v>шт</x:v>
      </x:c>
      <x:c r="P153" s="8" t="str">
        <x:v>Раздел 5. Материалы и оборудование</x:v>
      </x:c>
    </x:row>
    <x:row r="154" ht="39" customHeight="1">
      <x:c r="A154" s="13" t="str">
        <x:v>N068</x:v>
      </x:c>
      <x:c r="B154" s="13" t="str">
        <x:v>Светильники, опоры и их комплектующие</x:v>
      </x:c>
      <x:c r="C154" s="13" t="str">
        <x:v>55</x:v>
      </x:c>
      <x:c r="D154" s="13" t="str">
        <x:v>Опора ОКК 8,0(К200-4М24)(d60)-под КРФоб оц+ЧМ</x:v>
      </x:c>
      <x:c r="E154" s="13" t="str">
        <x:v>шт</x:v>
      </x:c>
      <x:c r="F154" s="15" t="n">
        <x:v>5</x:v>
      </x:c>
      <x:c r="G154" s="16" t="n">
        <x:v>1</x:v>
      </x:c>
      <x:c r="H154" s="15" t="n">
        <x:f>F154*G154</x:f>
        <x:v>5</x:v>
      </x:c>
      <x:c r="I154" s="13" t="str">
        <x:v>Цена не найдена</x:v>
      </x:c>
      <x:c r="J154" s="14" t="n">
        <x:v>1</x:v>
      </x:c>
      <x:c r="K154" s="14" t="n">
        <x:v>0</x:v>
      </x:c>
      <x:c r="L154" s="14" t="n">
        <x:v>1</x:v>
      </x:c>
      <x:c r="M154" s="13" t="str">
        <x:v>Основная строка</x:v>
      </x:c>
      <x:c r="N154" s="13" t="str">
        <x:v>6 - Освещение (основное) - ЛСР.pdf</x:v>
      </x:c>
      <x:c r="O154" s="13" t="str">
        <x:v>шт</x:v>
      </x:c>
      <x:c r="P154" s="13" t="str">
        <x:v>Раздел 5. Материалы и оборудование</x:v>
      </x:c>
    </x:row>
    <x:row r="155" ht="39" customHeight="1">
      <x:c r="A155" s="8" t="str">
        <x:v>N062</x:v>
      </x:c>
      <x:c r="B155" s="8" t="str">
        <x:v>Светильники, опоры и их комплектующие</x:v>
      </x:c>
      <x:c r="C155" s="8" t="str">
        <x:v>56</x:v>
      </x:c>
      <x:c r="D155" s="8" t="str">
        <x:v>А777164 ОПТ4-n027 Закладная ОПТ К200-4М24-2,0(d159)(фл.К280) (AF0300000113)</x:v>
      </x:c>
      <x:c r="E155" s="8" t="str">
        <x:v>шт</x:v>
      </x:c>
      <x:c r="F155" s="11" t="n">
        <x:v>5</x:v>
      </x:c>
      <x:c r="G155" s="12" t="n">
        <x:v>1</x:v>
      </x:c>
      <x:c r="H155" s="11" t="n">
        <x:f>F155*G155</x:f>
        <x:v>5</x:v>
      </x:c>
      <x:c r="I155" s="8" t="str">
        <x:v>Кандидаты</x:v>
      </x:c>
      <x:c r="J155" s="10" t="n">
        <x:v>1</x:v>
      </x:c>
      <x:c r="K155" s="10" t="n">
        <x:v>0</x:v>
      </x:c>
      <x:c r="L155" s="10" t="n">
        <x:v>1</x:v>
      </x:c>
      <x:c r="M155" s="8" t="str">
        <x:v>Основная строка</x:v>
      </x:c>
      <x:c r="N155" s="8" t="str">
        <x:v>6 - Освещение (основное) - ЛСР.pdf</x:v>
      </x:c>
      <x:c r="O155" s="8" t="str">
        <x:v>шт</x:v>
      </x:c>
      <x:c r="P155" s="8" t="str">
        <x:v>Раздел 5. Материалы и оборудование</x:v>
      </x:c>
    </x:row>
    <x:row r="156" ht="54" customHeight="1">
      <x:c r="A156" s="13" t="str">
        <x:v>N058</x:v>
      </x:c>
      <x:c r="B156" s="13" t="str">
        <x:v>Светильники, опоры и их комплектующие</x:v>
      </x:c>
      <x:c r="C156" s="13" t="str">
        <x:v>57</x:v>
      </x:c>
      <x:c r="D156" s="13" t="str">
        <x:v>А777164 КК-ОПТ-4М24к-n040 Крепёж 4х(Болт М24х70,Гайка-колп, Шайба увел-2шт, Шайба-2шт,Шайба-гровер)+1х(Гайка М8,Шайба М8-2шт) (нерж, AF0500000905)</x:v>
      </x:c>
      <x:c r="E156" s="13" t="str">
        <x:v>шт</x:v>
      </x:c>
      <x:c r="F156" s="15" t="n">
        <x:v>5</x:v>
      </x:c>
      <x:c r="G156" s="16" t="n">
        <x:v>1</x:v>
      </x:c>
      <x:c r="H156" s="15" t="n">
        <x:f>F156*G156</x:f>
        <x:v>5</x:v>
      </x:c>
      <x:c r="I156" s="13" t="str">
        <x:v>Кандидаты</x:v>
      </x:c>
      <x:c r="J156" s="14" t="n">
        <x:v>1</x:v>
      </x:c>
      <x:c r="K156" s="14" t="n">
        <x:v>0</x:v>
      </x:c>
      <x:c r="L156" s="14" t="n">
        <x:v>1</x:v>
      </x:c>
      <x:c r="M156" s="13" t="str">
        <x:v>Основная строка</x:v>
      </x:c>
      <x:c r="N156" s="13" t="str">
        <x:v>6 - Освещение (основное) - ЛСР.pdf</x:v>
      </x:c>
      <x:c r="O156" s="13" t="str">
        <x:v>шт</x:v>
      </x:c>
      <x:c r="P156" s="13" t="str">
        <x:v>Раздел 5. Материалы и оборудование</x:v>
      </x:c>
    </x:row>
    <x:row r="157" ht="54" customHeight="1">
      <x:c r="A157" s="8" t="str">
        <x:v>N056</x:v>
      </x:c>
      <x:c r="B157" s="8" t="str">
        <x:v>Светильники, опоры и их комплектующие</x:v>
      </x:c>
      <x:c r="C157" s="8" t="str">
        <x:v>58</x:v>
      </x:c>
      <x:c r="D157" s="8" t="str">
        <x:v>А777164 ДСУ04n001 Светильник Бэлл ДСУ-04-AF-25Вт(d60)-БП внешний (120х60, 02 (4000К), Ш медная патина, медная патина-медная патина, Кабель 4,0м станд, AF0100009448)</x:v>
      </x:c>
      <x:c r="E157" s="8" t="str">
        <x:v>шт</x:v>
      </x:c>
      <x:c r="F157" s="11" t="n">
        <x:v>61</x:v>
      </x:c>
      <x:c r="G157" s="12" t="n">
        <x:v>1</x:v>
      </x:c>
      <x:c r="H157" s="11" t="n">
        <x:f>F157*G157</x:f>
        <x:v>61</x:v>
      </x:c>
      <x:c r="I157" s="8" t="str">
        <x:v>Цена не найдена</x:v>
      </x:c>
      <x:c r="J157" s="10" t="n">
        <x:v>1</x:v>
      </x:c>
      <x:c r="K157" s="10" t="n">
        <x:v>0</x:v>
      </x:c>
      <x:c r="L157" s="10" t="n">
        <x:v>1</x:v>
      </x:c>
      <x:c r="M157" s="8" t="str">
        <x:v>Основная строка</x:v>
      </x:c>
      <x:c r="N157" s="8" t="str">
        <x:v>6 - Освещение (основное) - ЛСР.pdf</x:v>
      </x:c>
      <x:c r="O157" s="8" t="str">
        <x:v>шт</x:v>
      </x:c>
      <x:c r="P157" s="8" t="str">
        <x:v>Раздел 5. Материалы и оборудование</x:v>
      </x:c>
    </x:row>
    <x:row r="158" ht="39" customHeight="1">
      <x:c r="A158" s="13" t="str">
        <x:v>N059</x:v>
      </x:c>
      <x:c r="B158" s="13" t="str">
        <x:v>Светильники, опоры и их комплектующие</x:v>
      </x:c>
      <x:c r="C158" s="13" t="str">
        <x:v>59</x:v>
      </x:c>
      <x:c r="D158" s="13" t="str">
        <x:v>А777164 КРВД26n012 Кронштейн КРВД1-26(d60)-0,089 (оц+ЧМ, AF0400001016)</x:v>
      </x:c>
      <x:c r="E158" s="13" t="str">
        <x:v>шт</x:v>
      </x:c>
      <x:c r="F158" s="15" t="n">
        <x:v>61</x:v>
      </x:c>
      <x:c r="G158" s="16" t="n">
        <x:v>1</x:v>
      </x:c>
      <x:c r="H158" s="15" t="n">
        <x:f>F158*G158</x:f>
        <x:v>61</x:v>
      </x:c>
      <x:c r="I158" s="13" t="str">
        <x:v>Кандидаты</x:v>
      </x:c>
      <x:c r="J158" s="14" t="n">
        <x:v>1</x:v>
      </x:c>
      <x:c r="K158" s="14" t="n">
        <x:v>0</x:v>
      </x:c>
      <x:c r="L158" s="14" t="n">
        <x:v>1</x:v>
      </x:c>
      <x:c r="M158" s="13" t="str">
        <x:v>Основная строка</x:v>
      </x:c>
      <x:c r="N158" s="13" t="str">
        <x:v>6 - Освещение (основное) - ЛСР.pdf</x:v>
      </x:c>
      <x:c r="O158" s="13" t="str">
        <x:v>шт</x:v>
      </x:c>
      <x:c r="P158" s="13" t="str">
        <x:v>Раздел 5. Материалы и оборудование</x:v>
      </x:c>
    </x:row>
    <x:row r="159" ht="39" customHeight="1">
      <x:c r="A159" s="8" t="str">
        <x:v>N063</x:v>
      </x:c>
      <x:c r="B159" s="8" t="str">
        <x:v>Светильники, опоры и их комплектующие</x:v>
      </x:c>
      <x:c r="C159" s="8" t="str">
        <x:v>60</x:v>
      </x:c>
      <x:c r="D159" s="8" t="str">
        <x:v>А777164 ОССвn029 Опора ОССв 4,0(d190-3М20+d133-d89) под КРВ (оц+ЧМ, AF0200000525)</x:v>
      </x:c>
      <x:c r="E159" s="8" t="str">
        <x:v>шт</x:v>
      </x:c>
      <x:c r="F159" s="11" t="n">
        <x:v>36</x:v>
      </x:c>
      <x:c r="G159" s="12" t="n">
        <x:v>1</x:v>
      </x:c>
      <x:c r="H159" s="11" t="n">
        <x:f>F159*G159</x:f>
        <x:v>36</x:v>
      </x:c>
      <x:c r="I159" s="8" t="str">
        <x:v>Цена не найдена</x:v>
      </x:c>
      <x:c r="J159" s="10" t="n">
        <x:v>1</x:v>
      </x:c>
      <x:c r="K159" s="10" t="n">
        <x:v>0</x:v>
      </x:c>
      <x:c r="L159" s="10" t="n">
        <x:v>1</x:v>
      </x:c>
      <x:c r="M159" s="8" t="str">
        <x:v>Основная строка</x:v>
      </x:c>
      <x:c r="N159" s="8" t="str">
        <x:v>6 - Освещение (основное) - ЛСР.pdf</x:v>
      </x:c>
      <x:c r="O159" s="8" t="str">
        <x:v>шт</x:v>
      </x:c>
      <x:c r="P159" s="8" t="str">
        <x:v>Раздел 5. Материалы и оборудование</x:v>
      </x:c>
    </x:row>
    <x:row r="160" ht="39" customHeight="1">
      <x:c r="A160" s="13" t="str">
        <x:v>N061</x:v>
      </x:c>
      <x:c r="B160" s="13" t="str">
        <x:v>Светильники, опоры и их комплектующие</x:v>
      </x:c>
      <x:c r="C160" s="13" t="str">
        <x:v>61</x:v>
      </x:c>
      <x:c r="D160" s="13" t="str">
        <x:v>А777164 ОПТ3-n005 Закладная ОПТ d180_d190-3М20-1,5(d108)(фл.d240) (AF0300000079)</x:v>
      </x:c>
      <x:c r="E160" s="13" t="str">
        <x:v>шт</x:v>
      </x:c>
      <x:c r="F160" s="15" t="n">
        <x:v>36</x:v>
      </x:c>
      <x:c r="G160" s="16" t="n">
        <x:v>1</x:v>
      </x:c>
      <x:c r="H160" s="15" t="n">
        <x:f>F160*G160</x:f>
        <x:v>36</x:v>
      </x:c>
      <x:c r="I160" s="13" t="str">
        <x:v>Кандидаты</x:v>
      </x:c>
      <x:c r="J160" s="14" t="n">
        <x:v>1</x:v>
      </x:c>
      <x:c r="K160" s="14" t="n">
        <x:v>0</x:v>
      </x:c>
      <x:c r="L160" s="14" t="n">
        <x:v>1</x:v>
      </x:c>
      <x:c r="M160" s="13" t="str">
        <x:v>Основная строка</x:v>
      </x:c>
      <x:c r="N160" s="13" t="str">
        <x:v>6 - Освещение (основное) - ЛСР.pdf</x:v>
      </x:c>
      <x:c r="O160" s="13" t="str">
        <x:v>шт</x:v>
      </x:c>
      <x:c r="P160" s="13" t="str">
        <x:v>Раздел 5. Материалы и оборудование</x:v>
      </x:c>
    </x:row>
    <x:row r="161" ht="54" customHeight="1">
      <x:c r="A161" s="8" t="str">
        <x:v>N057</x:v>
      </x:c>
      <x:c r="B161" s="8" t="str">
        <x:v>Светильники, опоры и их комплектующие</x:v>
      </x:c>
      <x:c r="C161" s="8" t="str">
        <x:v>62</x:v>
      </x:c>
      <x:c r="D161" s="8" t="str">
        <x:v>А777164 КК-ОПТ-3М20-n005 Крепёж 3х(Болт М20х60, Гайка, Шайба-2шт, Шайба-гровер)+1х(Гайка М8, Шайба М8-2шт) (оц, AF0500000178)</x:v>
      </x:c>
      <x:c r="E161" s="8" t="str">
        <x:v>шт</x:v>
      </x:c>
      <x:c r="F161" s="11" t="n">
        <x:v>36</x:v>
      </x:c>
      <x:c r="G161" s="12" t="n">
        <x:v>1</x:v>
      </x:c>
      <x:c r="H161" s="11" t="n">
        <x:f>F161*G161</x:f>
        <x:v>36</x:v>
      </x:c>
      <x:c r="I161" s="8" t="str">
        <x:v>Кандидаты</x:v>
      </x:c>
      <x:c r="J161" s="10" t="n">
        <x:v>1</x:v>
      </x:c>
      <x:c r="K161" s="10" t="n">
        <x:v>0</x:v>
      </x:c>
      <x:c r="L161" s="10" t="n">
        <x:v>1</x:v>
      </x:c>
      <x:c r="M161" s="8" t="str">
        <x:v>Основная строка</x:v>
      </x:c>
      <x:c r="N161" s="8" t="str">
        <x:v>6 - Освещение (основное) - ЛСР.pdf</x:v>
      </x:c>
      <x:c r="O161" s="8" t="str">
        <x:v>шт</x:v>
      </x:c>
      <x:c r="P161" s="8" t="str">
        <x:v>Раздел 5. Материалы и оборудование</x:v>
      </x:c>
    </x:row>
    <x:row r="162" ht="39" customHeight="1">
      <x:c r="A162" s="13" t="str">
        <x:v>N060</x:v>
      </x:c>
      <x:c r="B162" s="13" t="str">
        <x:v>Светильники, опоры и их комплектующие</x:v>
      </x:c>
      <x:c r="C162" s="13" t="str">
        <x:v>63</x:v>
      </x:c>
      <x:c r="D162" s="13" t="str">
        <x:v>А777164 КРШ-d260-d143-H50-n08 Крышка литая (ЧМ, AF0500000393)</x:v>
      </x:c>
      <x:c r="E162" s="13" t="str">
        <x:v>шт</x:v>
      </x:c>
      <x:c r="F162" s="15" t="n">
        <x:v>36</x:v>
      </x:c>
      <x:c r="G162" s="16" t="n">
        <x:v>1</x:v>
      </x:c>
      <x:c r="H162" s="15" t="n">
        <x:f>F162*G162</x:f>
        <x:v>36</x:v>
      </x:c>
      <x:c r="I162" s="13" t="str">
        <x:v>Кандидаты</x:v>
      </x:c>
      <x:c r="J162" s="14" t="n">
        <x:v>1</x:v>
      </x:c>
      <x:c r="K162" s="14" t="n">
        <x:v>0</x:v>
      </x:c>
      <x:c r="L162" s="14" t="n">
        <x:v>1</x:v>
      </x:c>
      <x:c r="M162" s="13" t="str">
        <x:v>Основная строка</x:v>
      </x:c>
      <x:c r="N162" s="13" t="str">
        <x:v>6 - Освещение (основное) - ЛСР.pdf</x:v>
      </x:c>
      <x:c r="O162" s="13" t="str">
        <x:v>шт</x:v>
      </x:c>
      <x:c r="P162" s="13" t="str">
        <x:v>Раздел 5. Материалы и оборудование</x:v>
      </x:c>
    </x:row>
    <x:row r="163" ht="39" customHeight="1">
      <x:c r="A163" s="8" t="str">
        <x:v>N044</x:v>
      </x:c>
      <x:c r="B163" s="8" t="str">
        <x:v>Щиты и электротехнические изделия</x:v>
      </x:c>
      <x:c r="C163" s="8" t="str">
        <x:v>64</x:v>
      </x:c>
      <x:c r="D163" s="8" t="str">
        <x:v>Сжим типа У733М для магистральных и ответвительных проводов и кабелей</x:v>
      </x:c>
      <x:c r="E163" s="8" t="str">
        <x:v>100 шт</x:v>
      </x:c>
      <x:c r="F163" s="11" t="n">
        <x:v>1.72</x:v>
      </x:c>
      <x:c r="G163" s="12" t="n">
        <x:v>100</x:v>
      </x:c>
      <x:c r="H163" s="11" t="n">
        <x:f>F163*G163</x:f>
        <x:v>172</x:v>
      </x:c>
      <x:c r="I163" s="8" t="str">
        <x:v>Кандидаты</x:v>
      </x:c>
      <x:c r="J163" s="10" t="n">
        <x:v>1</x:v>
      </x:c>
      <x:c r="K163" s="10" t="n">
        <x:v>0</x:v>
      </x:c>
      <x:c r="L163" s="10" t="n">
        <x:v>1</x:v>
      </x:c>
      <x:c r="M163" s="8" t="str">
        <x:v>Основная строка</x:v>
      </x:c>
      <x:c r="N163" s="8" t="str">
        <x:v>6 - Освещение (основное) - ЛСР.pdf</x:v>
      </x:c>
      <x:c r="O163" s="8" t="str">
        <x:v>шт</x:v>
      </x:c>
      <x:c r="P163" s="8" t="str">
        <x:v>Раздел 5. Материалы и оборудование</x:v>
      </x:c>
    </x:row>
    <x:row r="164" ht="39" customHeight="1">
      <x:c r="A164" s="13" t="str">
        <x:v>N043</x:v>
      </x:c>
      <x:c r="B164" s="13" t="str">
        <x:v>Щиты и электротехнические изделия</x:v>
      </x:c>
      <x:c r="C164" s="13" t="str">
        <x:v>65</x:v>
      </x:c>
      <x:c r="D164" s="13" t="str">
        <x:v>Предохранитель проходной ПП-1+3А</x:v>
      </x:c>
      <x:c r="E164" s="13" t="str">
        <x:v>шт</x:v>
      </x:c>
      <x:c r="F164" s="15" t="n">
        <x:v>92</x:v>
      </x:c>
      <x:c r="G164" s="16" t="n">
        <x:v>1</x:v>
      </x:c>
      <x:c r="H164" s="15" t="n">
        <x:f>F164*G164</x:f>
        <x:v>92</x:v>
      </x:c>
      <x:c r="I164" s="13" t="str">
        <x:v>Кандидаты</x:v>
      </x:c>
      <x:c r="J164" s="14" t="n">
        <x:v>1</x:v>
      </x:c>
      <x:c r="K164" s="14" t="n">
        <x:v>0</x:v>
      </x:c>
      <x:c r="L164" s="14" t="n">
        <x:v>1</x:v>
      </x:c>
      <x:c r="M164" s="13" t="str">
        <x:v>Основная строка</x:v>
      </x:c>
      <x:c r="N164" s="13" t="str">
        <x:v>6 - Освещение (основное) - ЛСР.pdf</x:v>
      </x:c>
      <x:c r="O164" s="13" t="str">
        <x:v>шт</x:v>
      </x:c>
      <x:c r="P164" s="13" t="str">
        <x:v>Раздел 5. Материалы и оборудование</x:v>
      </x:c>
    </x:row>
    <x:row r="165" ht="39" customHeight="1">
      <x:c r="A165" s="8" t="str">
        <x:v>N054</x:v>
      </x:c>
      <x:c r="B165" s="8" t="str">
        <x:v>Щиты и электротехнические изделия</x:v>
      </x:c>
      <x:c r="C165" s="8" t="str">
        <x:v>66</x:v>
      </x:c>
      <x:c r="D165" s="8" t="str">
        <x:v>Клеммник WAGO 222-413</x:v>
      </x:c>
      <x:c r="E165" s="8" t="str">
        <x:v>шт</x:v>
      </x:c>
      <x:c r="F165" s="11" t="n">
        <x:v>368</x:v>
      </x:c>
      <x:c r="G165" s="12" t="n">
        <x:v>1</x:v>
      </x:c>
      <x:c r="H165" s="11" t="n">
        <x:f>F165*G165</x:f>
        <x:v>368</x:v>
      </x:c>
      <x:c r="I165" s="8" t="str">
        <x:v>Цена есть</x:v>
      </x:c>
      <x:c r="J165" s="10" t="n">
        <x:v>0</x:v>
      </x:c>
      <x:c r="K165" s="10" t="n">
        <x:v>1</x:v>
      </x:c>
      <x:c r="L165" s="10" t="n">
        <x:v>1</x:v>
      </x:c>
      <x:c r="M165" s="8" t="str">
        <x:v>Основная строка</x:v>
      </x:c>
      <x:c r="N165" s="8" t="str">
        <x:v>6 - Освещение (основное) - ЛСР.pdf</x:v>
      </x:c>
      <x:c r="O165" s="8" t="str">
        <x:v>шт</x:v>
      </x:c>
      <x:c r="P165" s="8" t="str">
        <x:v>Раздел 5. Материалы и оборудование</x:v>
      </x:c>
    </x:row>
    <x:row r="166" ht="39" customHeight="1">
      <x:c r="A166" s="13" t="str">
        <x:v>N041</x:v>
      </x:c>
      <x:c r="B166" s="13" t="str">
        <x:v>Щиты и электротехнические изделия</x:v>
      </x:c>
      <x:c r="C166" s="13" t="str">
        <x:v>67</x:v>
      </x:c>
      <x:c r="D166" s="13" t="str">
        <x:v>Муфта кабельная концевая 4ПКТп(б)-1-16/25(Б) (КВТ)</x:v>
      </x:c>
      <x:c r="E166" s="13" t="str">
        <x:v>шт</x:v>
      </x:c>
      <x:c r="F166" s="15" t="n">
        <x:v>86</x:v>
      </x:c>
      <x:c r="G166" s="16" t="n">
        <x:v>1</x:v>
      </x:c>
      <x:c r="H166" s="15" t="n">
        <x:f>F166*G166</x:f>
        <x:v>86</x:v>
      </x:c>
      <x:c r="I166" s="13" t="str">
        <x:v>Кандидаты</x:v>
      </x:c>
      <x:c r="J166" s="14" t="n">
        <x:v>1</x:v>
      </x:c>
      <x:c r="K166" s="14" t="n">
        <x:v>0</x:v>
      </x:c>
      <x:c r="L166" s="14" t="n">
        <x:v>1</x:v>
      </x:c>
      <x:c r="M166" s="13" t="str">
        <x:v>Основная строка</x:v>
      </x:c>
      <x:c r="N166" s="13" t="str">
        <x:v>6 - Освещение (основное) - ЛСР.pdf</x:v>
      </x:c>
      <x:c r="O166" s="13" t="str">
        <x:v>шт</x:v>
      </x:c>
      <x:c r="P166" s="13" t="str">
        <x:v>Раздел 5. Материалы и оборудование</x:v>
      </x:c>
    </x:row>
    <x:row r="167" ht="39" customHeight="1">
      <x:c r="A167" s="8" t="str">
        <x:v>N027</x:v>
      </x:c>
      <x:c r="B167" s="8" t="str">
        <x:v>Кабели и трубы</x:v>
      </x:c>
      <x:c r="C167" s="8" t="str">
        <x:v>68</x:v>
      </x:c>
      <x:c r="D167" s="8" t="str">
        <x:v>Кабель силовой с медными жилами ВВГнг(A)-LS 3х1,5ок(N, PE)-660</x:v>
      </x:c>
      <x:c r="E167" s="8" t="str">
        <x:v>1000 м</x:v>
      </x:c>
      <x:c r="F167" s="11" t="n">
        <x:v>0.55182</x:v>
      </x:c>
      <x:c r="G167" s="12" t="n">
        <x:v>1000</x:v>
      </x:c>
      <x:c r="H167" s="11" t="n">
        <x:f>F167*G167</x:f>
        <x:v>551.8199999999999</x:v>
      </x:c>
      <x:c r="I167" s="8" t="str">
        <x:v>Кандидаты</x:v>
      </x:c>
      <x:c r="J167" s="10" t="n">
        <x:v>1</x:v>
      </x:c>
      <x:c r="K167" s="10" t="n">
        <x:v>0</x:v>
      </x:c>
      <x:c r="L167" s="10" t="n">
        <x:v>1</x:v>
      </x:c>
      <x:c r="M167" s="8" t="str">
        <x:v>Основная строка</x:v>
      </x:c>
      <x:c r="N167" s="8" t="str">
        <x:v>6 - Освещение (основное) - ЛСР.pdf</x:v>
      </x:c>
      <x:c r="O167" s="8" t="str">
        <x:v>м</x:v>
      </x:c>
      <x:c r="P167" s="8" t="str">
        <x:v>Раздел 5. Материалы и оборудование</x:v>
      </x:c>
    </x:row>
    <x:row r="168" ht="39" customHeight="1">
      <x:c r="A168" s="13" t="str">
        <x:v>N033</x:v>
      </x:c>
      <x:c r="B168" s="13" t="str">
        <x:v>Кабели и трубы</x:v>
      </x:c>
      <x:c r="C168" s="13" t="str">
        <x:v>69</x:v>
      </x:c>
      <x:c r="D168" s="13" t="str">
        <x:v>Кабель силовой с алюминиевыми жилами АВБШв 4х16ок(N)-660</x:v>
      </x:c>
      <x:c r="E168" s="13" t="str">
        <x:v>1000 м</x:v>
      </x:c>
      <x:c r="F168" s="15" t="n">
        <x:v>0.79662</x:v>
      </x:c>
      <x:c r="G168" s="16" t="n">
        <x:v>1000</x:v>
      </x:c>
      <x:c r="H168" s="15" t="n">
        <x:f>F168*G168</x:f>
        <x:v>796.62</x:v>
      </x:c>
      <x:c r="I168" s="13" t="str">
        <x:v>Цена есть</x:v>
      </x:c>
      <x:c r="J168" s="14" t="n">
        <x:v>0</x:v>
      </x:c>
      <x:c r="K168" s="14" t="n">
        <x:v>1</x:v>
      </x:c>
      <x:c r="L168" s="14" t="n">
        <x:v>1</x:v>
      </x:c>
      <x:c r="M168" s="13" t="str">
        <x:v>Основная строка</x:v>
      </x:c>
      <x:c r="N168" s="13" t="str">
        <x:v>6 - Освещение (основное) - ЛСР.pdf</x:v>
      </x:c>
      <x:c r="O168" s="13" t="str">
        <x:v>м</x:v>
      </x:c>
      <x:c r="P168" s="13" t="str">
        <x:v>Раздел 5. Материалы и оборудование</x:v>
      </x:c>
    </x:row>
    <x:row r="169" ht="39" customHeight="1">
      <x:c r="A169" s="8" t="str">
        <x:v>N034</x:v>
      </x:c>
      <x:c r="B169" s="8" t="str">
        <x:v>Кабели и трубы</x:v>
      </x:c>
      <x:c r="C169" s="8" t="str">
        <x:v>70</x:v>
      </x:c>
      <x:c r="D169" s="8" t="str">
        <x:v>Кабель силовой с алюминиевыми жилами АВБШв 4х50ок(N)-660</x:v>
      </x:c>
      <x:c r="E169" s="8" t="str">
        <x:v>1000 м</x:v>
      </x:c>
      <x:c r="F169" s="11" t="n">
        <x:v>0.3519</x:v>
      </x:c>
      <x:c r="G169" s="12" t="n">
        <x:v>1000</x:v>
      </x:c>
      <x:c r="H169" s="11" t="n">
        <x:f>F169*G169</x:f>
        <x:v>351.9</x:v>
      </x:c>
      <x:c r="I169" s="8" t="str">
        <x:v>Цена есть</x:v>
      </x:c>
      <x:c r="J169" s="10" t="n">
        <x:v>0</x:v>
      </x:c>
      <x:c r="K169" s="10" t="n">
        <x:v>1</x:v>
      </x:c>
      <x:c r="L169" s="10" t="n">
        <x:v>1</x:v>
      </x:c>
      <x:c r="M169" s="8" t="str">
        <x:v>Основная строка</x:v>
      </x:c>
      <x:c r="N169" s="8" t="str">
        <x:v>6 - Освещение (основное) - ЛСР.pdf</x:v>
      </x:c>
      <x:c r="O169" s="8" t="str">
        <x:v>м</x:v>
      </x:c>
      <x:c r="P169" s="8" t="str">
        <x:v>Раздел 5. Материалы и оборудование</x:v>
      </x:c>
    </x:row>
    <x:row r="170" ht="39" customHeight="1">
      <x:c r="A170" s="13" t="str">
        <x:v>N025</x:v>
      </x:c>
      <x:c r="B170" s="13" t="str">
        <x:v>Кабели и трубы</x:v>
      </x:c>
      <x:c r="C170" s="13" t="str">
        <x:v>71</x:v>
      </x:c>
      <x:c r="D170" s="13" t="str">
        <x:v>Кабель АВБбШв 4х150 - 0,66/1 кВ</x:v>
      </x:c>
      <x:c r="E170" s="13" t="str">
        <x:v>пм</x:v>
      </x:c>
      <x:c r="F170" s="15" t="n">
        <x:v>351.9</x:v>
      </x:c>
      <x:c r="G170" s="16" t="n">
        <x:v>1</x:v>
      </x:c>
      <x:c r="H170" s="15" t="n">
        <x:f>F170*G170</x:f>
        <x:v>351.9</x:v>
      </x:c>
      <x:c r="I170" s="13" t="str">
        <x:v>Кандидаты</x:v>
      </x:c>
      <x:c r="J170" s="14" t="n">
        <x:v>1</x:v>
      </x:c>
      <x:c r="K170" s="14" t="n">
        <x:v>0</x:v>
      </x:c>
      <x:c r="L170" s="14" t="n">
        <x:v>1</x:v>
      </x:c>
      <x:c r="M170" s="13" t="str">
        <x:v>Основная строка</x:v>
      </x:c>
      <x:c r="N170" s="13" t="str">
        <x:v>6 - Освещение (основное) - ЛСР.pdf</x:v>
      </x:c>
      <x:c r="O170" s="13" t="str">
        <x:v>м</x:v>
      </x:c>
      <x:c r="P170" s="13" t="str">
        <x:v>Раздел 5. Материалы и оборудование</x:v>
      </x:c>
    </x:row>
    <x:row r="171" ht="39" customHeight="1">
      <x:c r="A171" s="8" t="str">
        <x:v>N032</x:v>
      </x:c>
      <x:c r="B171" s="8" t="str">
        <x:v>Кабели и трубы</x:v>
      </x:c>
      <x:c r="C171" s="8" t="str">
        <x:v>72</x:v>
      </x:c>
      <x:c r="D171" s="8" t="str">
        <x:v>Гладкая жесткая труба EKF ПНД, черная ⌀50 мм 100 м PROxima tpndg-50</x:v>
      </x:c>
      <x:c r="E171" s="8" t="str">
        <x:v>м</x:v>
      </x:c>
      <x:c r="F171" s="11" t="n">
        <x:v>695</x:v>
      </x:c>
      <x:c r="G171" s="12" t="n">
        <x:v>1</x:v>
      </x:c>
      <x:c r="H171" s="11" t="n">
        <x:f>F171*G171</x:f>
        <x:v>695</x:v>
      </x:c>
      <x:c r="I171" s="8" t="str">
        <x:v>Цена есть</x:v>
      </x:c>
      <x:c r="J171" s="10" t="n">
        <x:v>0</x:v>
      </x:c>
      <x:c r="K171" s="10" t="n">
        <x:v>1</x:v>
      </x:c>
      <x:c r="L171" s="10" t="n">
        <x:v>1</x:v>
      </x:c>
      <x:c r="M171" s="8" t="str">
        <x:v>Основная строка</x:v>
      </x:c>
      <x:c r="N171" s="8" t="str">
        <x:v>6 - Освещение (основное) - ЛСР.pdf</x:v>
      </x:c>
      <x:c r="O171" s="8" t="str">
        <x:v>м</x:v>
      </x:c>
      <x:c r="P171" s="8" t="str">
        <x:v>Раздел 5. Материалы и оборудование</x:v>
      </x:c>
    </x:row>
    <x:row r="172" ht="69" customHeight="1">
      <x:c r="A172" s="13" t="str">
        <x:v>N031</x:v>
      </x:c>
      <x:c r="B172" s="13" t="str">
        <x:v>Кабели и трубы</x:v>
      </x:c>
      <x:c r="C172" s="13" t="str">
        <x:v>73</x:v>
      </x:c>
      <x:c r="D172" s="13" t="str">
        <x:v>Трубы напорные полиэтиленовые, кроме газопроводных ПЭ100, для транспортировки воды, стандартное размерное отношение SDR21, номинальный наружный диаметр 110 мм, толщина стенки 5,3 мм</x:v>
      </x:c>
      <x:c r="E172" s="13" t="str">
        <x:v>м</x:v>
      </x:c>
      <x:c r="F172" s="15" t="n">
        <x:v>690</x:v>
      </x:c>
      <x:c r="G172" s="16" t="n">
        <x:v>1</x:v>
      </x:c>
      <x:c r="H172" s="15" t="n">
        <x:f>F172*G172</x:f>
        <x:v>690</x:v>
      </x:c>
      <x:c r="I172" s="13" t="str">
        <x:v>Цена не найдена</x:v>
      </x:c>
      <x:c r="J172" s="14" t="n">
        <x:v>1</x:v>
      </x:c>
      <x:c r="K172" s="14" t="n">
        <x:v>0</x:v>
      </x:c>
      <x:c r="L172" s="14" t="n">
        <x:v>1</x:v>
      </x:c>
      <x:c r="M172" s="13" t="str">
        <x:v>Основная строка</x:v>
      </x:c>
      <x:c r="N172" s="13" t="str">
        <x:v>6 - Освещение (основное) - ЛСР.pdf</x:v>
      </x:c>
      <x:c r="O172" s="13" t="str">
        <x:v>м</x:v>
      </x:c>
      <x:c r="P172" s="13" t="str">
        <x:v>Раздел 5. Материалы и оборудование</x:v>
      </x:c>
    </x:row>
    <x:row r="173" ht="54" customHeight="1">
      <x:c r="A173" s="8" t="str">
        <x:v>N088</x:v>
      </x:c>
      <x:c r="B173" s="8" t="str">
        <x:v>Земляные работы</x:v>
      </x:c>
      <x:c r="C173" s="8" t="str">
        <x:v>1</x:v>
      </x:c>
      <x:c r="D173" s="8" t="str">
        <x:v>Разработка грунта с погрузкой на автомобили-самосвалы в траншеях экскаватором «обратная лопата» с ковшом вместимостью 0,25 м3, группа грунтов: 2</x:v>
      </x:c>
      <x:c r="E173" s="8" t="str">
        <x:v>1000 м3</x:v>
      </x:c>
      <x:c r="F173" s="11" t="n">
        <x:v>0.0012</x:v>
      </x:c>
      <x:c r="G173" s="12" t="n">
        <x:v>1000</x:v>
      </x:c>
      <x:c r="H173" s="11" t="n">
        <x:f>F173*G173</x:f>
        <x:v>1.2</x:v>
      </x:c>
      <x:c r="I173" s="8" t="str">
        <x:v>Кандидаты</x:v>
      </x:c>
      <x:c r="J173" s="10" t="n">
        <x:v>1</x:v>
      </x:c>
      <x:c r="K173" s="10" t="n">
        <x:v>0</x:v>
      </x:c>
      <x:c r="L173" s="10" t="n">
        <x:v>1</x:v>
      </x:c>
      <x:c r="M173" s="8" t="str">
        <x:v>Основная строка</x:v>
      </x:c>
      <x:c r="N173" s="8" t="str">
        <x:v>8 - Видео - ЛСР.pdf</x:v>
      </x:c>
      <x:c r="O173" s="8" t="str">
        <x:v>м³</x:v>
      </x:c>
      <x:c r="P173" s="8" t="str">
        <x:v>Раздел 1.</x:v>
      </x:c>
    </x:row>
    <x:row r="174" ht="69" customHeight="1">
      <x:c r="A174" s="13" t="str">
        <x:v>N096</x:v>
      </x:c>
      <x:c r="B174" s="13" t="str">
        <x:v>Погрузка и перевозка</x:v>
      </x:c>
      <x:c r="C174" s="13" t="str">
        <x:v>2</x:v>
      </x:c>
      <x:c r="D174" s="13" t="str">
        <x:v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x:v>
      </x:c>
      <x:c r="E174" s="13" t="str">
        <x:v>1т груза</x:v>
      </x:c>
      <x:c r="F174" s="15" t="n">
        <x:v>1.68</x:v>
      </x:c>
      <x:c r="G174" s="16" t="n">
        <x:v>1</x:v>
      </x:c>
      <x:c r="H174" s="15" t="n">
        <x:f>F174*G174</x:f>
        <x:v>1.68</x:v>
      </x:c>
      <x:c r="I174" s="13" t="str">
        <x:v>Кандидаты</x:v>
      </x:c>
      <x:c r="J174" s="14" t="n">
        <x:v>1</x:v>
      </x:c>
      <x:c r="K174" s="14" t="n">
        <x:v>0</x:v>
      </x:c>
      <x:c r="L174" s="14" t="n">
        <x:v>1</x:v>
      </x:c>
      <x:c r="M174" s="13" t="str">
        <x:v>Основная строка</x:v>
      </x:c>
      <x:c r="N174" s="13" t="str">
        <x:v>8 - Видео - ЛСР.pdf</x:v>
      </x:c>
      <x:c r="O174" s="13" t="str">
        <x:v>т груза</x:v>
      </x:c>
      <x:c r="P174" s="13" t="str">
        <x:v>Раздел 1.</x:v>
      </x:c>
    </x:row>
    <x:row r="175" ht="39" customHeight="1">
      <x:c r="A175" s="8" t="str">
        <x:v>N094</x:v>
      </x:c>
      <x:c r="B175" s="8" t="str">
        <x:v>Земляные работы</x:v>
      </x:c>
      <x:c r="C175" s="8" t="str">
        <x:v>3</x:v>
      </x:c>
      <x:c r="D175" s="8" t="str">
        <x:v>Разработка траншей экскаватором «обратная лопата» с ковшом вместимостью 0,25 м3, группа грунтов: 1</x:v>
      </x:c>
      <x:c r="E175" s="8" t="str">
        <x:v>1000 м3</x:v>
      </x:c>
      <x:c r="F175" s="11" t="n">
        <x:v>0.0015</x:v>
      </x:c>
      <x:c r="G175" s="12" t="n">
        <x:v>1000</x:v>
      </x:c>
      <x:c r="H175" s="11" t="n">
        <x:f>F175*G175</x:f>
        <x:v>1.5</x:v>
      </x:c>
      <x:c r="I175" s="8" t="str">
        <x:v>Кандидаты</x:v>
      </x:c>
      <x:c r="J175" s="10" t="n">
        <x:v>1</x:v>
      </x:c>
      <x:c r="K175" s="10" t="n">
        <x:v>0</x:v>
      </x:c>
      <x:c r="L175" s="10" t="n">
        <x:v>1</x:v>
      </x:c>
      <x:c r="M175" s="8" t="str">
        <x:v>Основная строка</x:v>
      </x:c>
      <x:c r="N175" s="8" t="str">
        <x:v>8 - Видео - ЛСР.pdf</x:v>
      </x:c>
      <x:c r="O175" s="8" t="str">
        <x:v>м³</x:v>
      </x:c>
      <x:c r="P175" s="8" t="str">
        <x:v>Раздел 1.</x:v>
      </x:c>
    </x:row>
    <x:row r="176" ht="39" customHeight="1">
      <x:c r="A176" s="13" t="str">
        <x:v>N120</x:v>
      </x:c>
      <x:c r="B176" s="13" t="str">
        <x:v>Электромонтаж и наружное освещение</x:v>
      </x:c>
      <x:c r="C176" s="13" t="str">
        <x:v>4</x:v>
      </x:c>
      <x:c r="D176" s="13" t="str">
        <x:v>Покрытие кабеля, проложенного в траншее: лентой сигнальной</x:v>
      </x:c>
      <x:c r="E176" s="13" t="str">
        <x:v>100 м</x:v>
      </x:c>
      <x:c r="F176" s="15" t="n">
        <x:v>0.15</x:v>
      </x:c>
      <x:c r="G176" s="16" t="n">
        <x:v>100</x:v>
      </x:c>
      <x:c r="H176" s="15" t="n">
        <x:f>F176*G176</x:f>
        <x:v>15</x:v>
      </x:c>
      <x:c r="I176" s="13" t="str">
        <x:v>Кандидаты</x:v>
      </x:c>
      <x:c r="J176" s="14" t="n">
        <x:v>1</x:v>
      </x:c>
      <x:c r="K176" s="14" t="n">
        <x:v>0</x:v>
      </x:c>
      <x:c r="L176" s="14" t="n">
        <x:v>1</x:v>
      </x:c>
      <x:c r="M176" s="13" t="str">
        <x:v>Работа с вложенными ресурсами</x:v>
      </x:c>
      <x:c r="N176" s="13" t="str">
        <x:v>8 - Видео - ЛСР.pdf</x:v>
      </x:c>
      <x:c r="O176" s="13" t="str">
        <x:v>м</x:v>
      </x:c>
      <x:c r="P176" s="13" t="str">
        <x:v>Раздел 1.</x:v>
      </x:c>
    </x:row>
    <x:row r="177" ht="39" customHeight="1">
      <x:c r="A177" s="8" t="str"/>
      <x:c r="B177" s="8" t="str">
        <x:v>Расчётные и корректирующие строки</x:v>
      </x:c>
      <x:c r="C177" s="8" t="str">
        <x:v>4.1</x:v>
      </x:c>
      <x:c r="D177" s="8" t="str">
        <x:v>Вспомогательные ненормируемые материальные ресурсы</x:v>
      </x:c>
      <x:c r="E177" s="8" t="str">
        <x:v>%</x:v>
      </x:c>
      <x:c r="F177" s="11" t="n">
        <x:v>2</x:v>
      </x:c>
      <x:c r="G177" s="12" t="n">
        <x:v>1</x:v>
      </x:c>
      <x:c r="H177" s="11" t="n">
        <x:f>F177*G177</x:f>
        <x:v>2</x:v>
      </x:c>
      <x:c r="I177" s="8" t="str">
        <x:v>Не искать отдельно</x:v>
      </x:c>
      <x:c r="J177" s="10" t="n">
        <x:v>0</x:v>
      </x:c>
      <x:c r="K177" s="10" t="n">
        <x:v>0</x:v>
      </x:c>
      <x:c r="L177" s="10" t="n">
        <x:v>0</x:v>
      </x:c>
      <x:c r="M177" s="8" t="str">
        <x:v>Ресурс родительской работы</x:v>
      </x:c>
      <x:c r="N177" s="8" t="str">
        <x:v>8 - Видео - ЛСР.pdf</x:v>
      </x:c>
      <x:c r="O177" s="8" t="str">
        <x:v>%</x:v>
      </x:c>
      <x:c r="P177" s="8" t="str">
        <x:v>Раздел 1.</x:v>
      </x:c>
    </x:row>
    <x:row r="178" ht="39" customHeight="1">
      <x:c r="A178" s="13" t="str">
        <x:v>N040</x:v>
      </x:c>
      <x:c r="B178" s="13" t="str">
        <x:v>Щиты и электротехнические изделия</x:v>
      </x:c>
      <x:c r="C178" s="13" t="str">
        <x:v>5</x:v>
      </x:c>
      <x:c r="D178" s="13" t="str">
        <x:v>Лента сигнальная полиэтиленовая ЛСЭ-300, длина 100 м, ширина 300 мм</x:v>
      </x:c>
      <x:c r="E178" s="13" t="str">
        <x:v>шт</x:v>
      </x:c>
      <x:c r="F178" s="15" t="n">
        <x:v>0.15</x:v>
      </x:c>
      <x:c r="G178" s="16" t="n">
        <x:v>1</x:v>
      </x:c>
      <x:c r="H178" s="15" t="n">
        <x:f>F178*G178</x:f>
        <x:v>0.15</x:v>
      </x:c>
      <x:c r="I178" s="13" t="str">
        <x:v>Кандидаты</x:v>
      </x:c>
      <x:c r="J178" s="14" t="n">
        <x:v>1</x:v>
      </x:c>
      <x:c r="K178" s="14" t="n">
        <x:v>0</x:v>
      </x:c>
      <x:c r="L178" s="14" t="n">
        <x:v>1</x:v>
      </x:c>
      <x:c r="M178" s="13" t="str">
        <x:v>Основная строка</x:v>
      </x:c>
      <x:c r="N178" s="13" t="str">
        <x:v>8 - Видео - ЛСР.pdf</x:v>
      </x:c>
      <x:c r="O178" s="13" t="str">
        <x:v>шт</x:v>
      </x:c>
      <x:c r="P178" s="13" t="str">
        <x:v>Раздел 1.</x:v>
      </x:c>
    </x:row>
    <x:row r="179" ht="39" customHeight="1">
      <x:c r="A179" s="8" t="str">
        <x:v>N133</x:v>
      </x:c>
      <x:c r="B179" s="8" t="str">
        <x:v>Электромонтаж и наружное освещение</x:v>
      </x:c>
      <x:c r="C179" s="8" t="str">
        <x:v>6</x:v>
      </x:c>
      <x:c r="D179" s="8" t="str">
        <x:v>Устройство трубопроводов из полиэтиленовых труб: до 2 отверстий - Ø 25 мм, Ø 40 мм, Ø 50 мм</x:v>
      </x:c>
      <x:c r="E179" s="8" t="str">
        <x:v>канал.км</x:v>
      </x:c>
      <x:c r="F179" s="11" t="n">
        <x:v>2.133</x:v>
      </x:c>
      <x:c r="G179" s="12" t="n">
        <x:v>1</x:v>
      </x:c>
      <x:c r="H179" s="11" t="n">
        <x:f>F179*G179</x:f>
        <x:v>2.133</x:v>
      </x:c>
      <x:c r="I179" s="8" t="str">
        <x:v>Кандидаты</x:v>
      </x:c>
      <x:c r="J179" s="10" t="n">
        <x:v>1</x:v>
      </x:c>
      <x:c r="K179" s="10" t="n">
        <x:v>0</x:v>
      </x:c>
      <x:c r="L179" s="10" t="n">
        <x:v>1</x:v>
      </x:c>
      <x:c r="M179" s="8" t="str">
        <x:v>Основная строка</x:v>
      </x:c>
      <x:c r="N179" s="8" t="str">
        <x:v>8 - Видео - ЛСР.pdf</x:v>
      </x:c>
      <x:c r="O179" s="8" t="str">
        <x:v>канал.км</x:v>
      </x:c>
      <x:c r="P179" s="8" t="str">
        <x:v>Раздел 1.</x:v>
      </x:c>
    </x:row>
    <x:row r="180" ht="39" customHeight="1">
      <x:c r="A180" s="13" t="str">
        <x:v>N001</x:v>
      </x:c>
      <x:c r="B180" s="13" t="str">
        <x:v>Сыпучие материалы и грунт</x:v>
      </x:c>
      <x:c r="C180" s="13" t="str">
        <x:v>7</x:v>
      </x:c>
      <x:c r="D180" s="13" t="str">
        <x:v>Песок природный для строительных работ I класс, мелкий</x:v>
      </x:c>
      <x:c r="E180" s="13" t="str">
        <x:v>м3</x:v>
      </x:c>
      <x:c r="F180" s="15" t="n">
        <x:v>0.99</x:v>
      </x:c>
      <x:c r="G180" s="16" t="n">
        <x:v>1</x:v>
      </x:c>
      <x:c r="H180" s="15" t="n">
        <x:f>F180*G180</x:f>
        <x:v>0.99</x:v>
      </x:c>
      <x:c r="I180" s="13" t="str">
        <x:v>Кандидаты</x:v>
      </x:c>
      <x:c r="J180" s="14" t="n">
        <x:v>1</x:v>
      </x:c>
      <x:c r="K180" s="14" t="n">
        <x:v>0</x:v>
      </x:c>
      <x:c r="L180" s="14" t="n">
        <x:v>1</x:v>
      </x:c>
      <x:c r="M180" s="13" t="str">
        <x:v>Основная строка</x:v>
      </x:c>
      <x:c r="N180" s="13" t="str">
        <x:v>8 - Видео - ЛСР.pdf</x:v>
      </x:c>
      <x:c r="O180" s="13" t="str">
        <x:v>м³</x:v>
      </x:c>
      <x:c r="P180" s="13" t="str">
        <x:v>Раздел 1.</x:v>
      </x:c>
    </x:row>
    <x:row r="181" ht="54" customHeight="1">
      <x:c r="A181" s="8" t="str">
        <x:v>N086</x:v>
      </x:c>
      <x:c r="B181" s="8" t="str">
        <x:v>Земляные работы</x:v>
      </x:c>
      <x:c r="C181" s="8" t="str">
        <x:v>8</x:v>
      </x:c>
      <x:c r="D181" s="8" t="str">
        <x:v>Засыпка траншей и котлованов с перемещением грунта до 5 м бульдозерами мощностью: 59 кВт (80 л.с.), группа грунтов 1 - песком</x:v>
      </x:c>
      <x:c r="E181" s="8" t="str">
        <x:v>1000 м3</x:v>
      </x:c>
      <x:c r="F181" s="11" t="n">
        <x:v>0.0003</x:v>
      </x:c>
      <x:c r="G181" s="12" t="n">
        <x:v>1000</x:v>
      </x:c>
      <x:c r="H181" s="11" t="n">
        <x:f>F181*G181</x:f>
        <x:v>0.3</x:v>
      </x:c>
      <x:c r="I181" s="8" t="str">
        <x:v>Кандидаты</x:v>
      </x:c>
      <x:c r="J181" s="10" t="n">
        <x:v>1</x:v>
      </x:c>
      <x:c r="K181" s="10" t="n">
        <x:v>0</x:v>
      </x:c>
      <x:c r="L181" s="10" t="n">
        <x:v>1</x:v>
      </x:c>
      <x:c r="M181" s="8" t="str">
        <x:v>Основная строка</x:v>
      </x:c>
      <x:c r="N181" s="8" t="str">
        <x:v>8 - Видео - ЛСР.pdf</x:v>
      </x:c>
      <x:c r="O181" s="8" t="str">
        <x:v>м³</x:v>
      </x:c>
      <x:c r="P181" s="8" t="str">
        <x:v>Раздел 1.</x:v>
      </x:c>
    </x:row>
    <x:row r="182" ht="39" customHeight="1">
      <x:c r="A182" s="13" t="str">
        <x:v>N001</x:v>
      </x:c>
      <x:c r="B182" s="13" t="str">
        <x:v>Сыпучие материалы и грунт</x:v>
      </x:c>
      <x:c r="C182" s="13" t="str">
        <x:v>9</x:v>
      </x:c>
      <x:c r="D182" s="13" t="str">
        <x:v>Песок природный для строительных работ I класс, мелкий</x:v>
      </x:c>
      <x:c r="E182" s="13" t="str">
        <x:v>м3</x:v>
      </x:c>
      <x:c r="F182" s="15" t="n">
        <x:v>0.33</x:v>
      </x:c>
      <x:c r="G182" s="16" t="n">
        <x:v>1</x:v>
      </x:c>
      <x:c r="H182" s="15" t="n">
        <x:f>F182*G182</x:f>
        <x:v>0.33</x:v>
      </x:c>
      <x:c r="I182" s="13" t="str">
        <x:v>Кандидаты</x:v>
      </x:c>
      <x:c r="J182" s="14" t="n">
        <x:v>1</x:v>
      </x:c>
      <x:c r="K182" s="14" t="n">
        <x:v>0</x:v>
      </x:c>
      <x:c r="L182" s="14" t="n">
        <x:v>1</x:v>
      </x:c>
      <x:c r="M182" s="13" t="str">
        <x:v>Основная строка</x:v>
      </x:c>
      <x:c r="N182" s="13" t="str">
        <x:v>8 - Видео - ЛСР.pdf</x:v>
      </x:c>
      <x:c r="O182" s="13" t="str">
        <x:v>м³</x:v>
      </x:c>
      <x:c r="P182" s="13" t="str">
        <x:v>Раздел 1.</x:v>
      </x:c>
    </x:row>
    <x:row r="183" ht="39" customHeight="1">
      <x:c r="A183" s="8" t="str">
        <x:v>N084</x:v>
      </x:c>
      <x:c r="B183" s="8" t="str">
        <x:v>Земляные работы</x:v>
      </x:c>
      <x:c r="C183" s="8" t="str">
        <x:v>10</x:v>
      </x:c>
      <x:c r="D183" s="8" t="str">
        <x:v>Уплотнение грунта пневматическими трамбовками, группа грунтов: 1-2</x:v>
      </x:c>
      <x:c r="E183" s="8" t="str">
        <x:v>100 м3</x:v>
      </x:c>
      <x:c r="F183" s="11" t="n">
        <x:v>0.003</x:v>
      </x:c>
      <x:c r="G183" s="12" t="n">
        <x:v>100</x:v>
      </x:c>
      <x:c r="H183" s="11" t="n">
        <x:f>F183*G183</x:f>
        <x:v>0.3</x:v>
      </x:c>
      <x:c r="I183" s="8" t="str">
        <x:v>Кандидаты</x:v>
      </x:c>
      <x:c r="J183" s="10" t="n">
        <x:v>1</x:v>
      </x:c>
      <x:c r="K183" s="10" t="n">
        <x:v>0</x:v>
      </x:c>
      <x:c r="L183" s="10" t="n">
        <x:v>1</x:v>
      </x:c>
      <x:c r="M183" s="8" t="str">
        <x:v>Основная строка</x:v>
      </x:c>
      <x:c r="N183" s="8" t="str">
        <x:v>8 - Видео - ЛСР.pdf</x:v>
      </x:c>
      <x:c r="O183" s="8" t="str">
        <x:v>м³</x:v>
      </x:c>
      <x:c r="P183" s="8" t="str">
        <x:v>Раздел 1.</x:v>
      </x:c>
    </x:row>
    <x:row r="184" ht="54" customHeight="1">
      <x:c r="A184" s="13" t="str">
        <x:v>N085</x:v>
      </x:c>
      <x:c r="B184" s="13" t="str">
        <x:v>Земляные работы</x:v>
      </x:c>
      <x:c r="C184" s="13" t="str">
        <x:v>11</x:v>
      </x:c>
      <x:c r="D184" s="13" t="str">
        <x:v>Засыпка траншей и котлованов с перемещением грунта до 5 м бульдозерами мощностью: 59 кВт (80 л.с.), группа грунтов 1 - грунт</x:v>
      </x:c>
      <x:c r="E184" s="13" t="str">
        <x:v>1000 м3</x:v>
      </x:c>
      <x:c r="F184" s="15" t="n">
        <x:v>0.0015</x:v>
      </x:c>
      <x:c r="G184" s="16" t="n">
        <x:v>1000</x:v>
      </x:c>
      <x:c r="H184" s="15" t="n">
        <x:f>F184*G184</x:f>
        <x:v>1.5</x:v>
      </x:c>
      <x:c r="I184" s="13" t="str">
        <x:v>Кандидаты</x:v>
      </x:c>
      <x:c r="J184" s="14" t="n">
        <x:v>1</x:v>
      </x:c>
      <x:c r="K184" s="14" t="n">
        <x:v>0</x:v>
      </x:c>
      <x:c r="L184" s="14" t="n">
        <x:v>1</x:v>
      </x:c>
      <x:c r="M184" s="13" t="str">
        <x:v>Основная строка</x:v>
      </x:c>
      <x:c r="N184" s="13" t="str">
        <x:v>8 - Видео - ЛСР.pdf</x:v>
      </x:c>
      <x:c r="O184" s="13" t="str">
        <x:v>м³</x:v>
      </x:c>
      <x:c r="P184" s="13" t="str">
        <x:v>Раздел 1.</x:v>
      </x:c>
    </x:row>
    <x:row r="185" ht="39" customHeight="1">
      <x:c r="A185" s="8" t="str">
        <x:v>N141</x:v>
      </x:c>
      <x:c r="B185" s="8" t="str">
        <x:v>Монтаж связи и видеонаблюдения</x:v>
      </x:c>
      <x:c r="C185" s="8" t="str">
        <x:v>12</x:v>
      </x:c>
      <x:c r="D185" s="8" t="str">
        <x:v>Прокладка волоконно-оптических кабелей в канализации: в трубопроводе по свободному каналу</x:v>
      </x:c>
      <x:c r="E185" s="8" t="str">
        <x:v>100 м</x:v>
      </x:c>
      <x:c r="F185" s="11" t="n">
        <x:v>21.33</x:v>
      </x:c>
      <x:c r="G185" s="12" t="n">
        <x:v>100</x:v>
      </x:c>
      <x:c r="H185" s="11" t="n">
        <x:f>F185*G185</x:f>
        <x:v>2133</x:v>
      </x:c>
      <x:c r="I185" s="8" t="str">
        <x:v>Кандидаты</x:v>
      </x:c>
      <x:c r="J185" s="10" t="n">
        <x:v>1</x:v>
      </x:c>
      <x:c r="K185" s="10" t="n">
        <x:v>0</x:v>
      </x:c>
      <x:c r="L185" s="10" t="n">
        <x:v>1</x:v>
      </x:c>
      <x:c r="M185" s="8" t="str">
        <x:v>Работа с вложенными ресурсами</x:v>
      </x:c>
      <x:c r="N185" s="8" t="str">
        <x:v>8 - Видео - ЛСР.pdf</x:v>
      </x:c>
      <x:c r="O185" s="8" t="str">
        <x:v>м</x:v>
      </x:c>
      <x:c r="P185" s="8" t="str">
        <x:v>Раздел 1.</x:v>
      </x:c>
    </x:row>
    <x:row r="186" ht="39" customHeight="1">
      <x:c r="A186" s="13" t="str"/>
      <x:c r="B186" s="13" t="str">
        <x:v>Расчётные и корректирующие строки</x:v>
      </x:c>
      <x:c r="C186" s="13" t="str">
        <x:v>12.1</x:v>
      </x:c>
      <x:c r="D186" s="13" t="str">
        <x:v>Вспомогательные ненормируемые материальные ресурсы</x:v>
      </x:c>
      <x:c r="E186" s="13" t="str">
        <x:v>%</x:v>
      </x:c>
      <x:c r="F186" s="15" t="n">
        <x:v>2</x:v>
      </x:c>
      <x:c r="G186" s="16" t="n">
        <x:v>1</x:v>
      </x:c>
      <x:c r="H186" s="15" t="n">
        <x:f>F186*G186</x:f>
        <x:v>2</x:v>
      </x:c>
      <x:c r="I186" s="13" t="str">
        <x:v>Не искать отдельно</x:v>
      </x:c>
      <x:c r="J186" s="14" t="n">
        <x:v>0</x:v>
      </x:c>
      <x:c r="K186" s="14" t="n">
        <x:v>0</x:v>
      </x:c>
      <x:c r="L186" s="14" t="n">
        <x:v>0</x:v>
      </x:c>
      <x:c r="M186" s="13" t="str">
        <x:v>Ресурс родительской работы</x:v>
      </x:c>
      <x:c r="N186" s="13" t="str">
        <x:v>8 - Видео - ЛСР.pdf</x:v>
      </x:c>
      <x:c r="O186" s="13" t="str">
        <x:v>%</x:v>
      </x:c>
      <x:c r="P186" s="13" t="str">
        <x:v>Раздел 1.</x:v>
      </x:c>
    </x:row>
    <x:row r="187" ht="39" customHeight="1">
      <x:c r="A187" s="8" t="str">
        <x:v>N135</x:v>
      </x:c>
      <x:c r="B187" s="8" t="str">
        <x:v>Электромонтаж и наружное освещение</x:v>
      </x:c>
      <x:c r="C187" s="8" t="str">
        <x:v>13</x:v>
      </x:c>
      <x:c r="D187" s="8" t="str">
        <x:v>Электрические проводки в щитах и пультах: шкафных и панельных</x:v>
      </x:c>
      <x:c r="E187" s="8" t="str">
        <x:v>100 м</x:v>
      </x:c>
      <x:c r="F187" s="11" t="n">
        <x:v>0.8</x:v>
      </x:c>
      <x:c r="G187" s="12" t="n">
        <x:v>100</x:v>
      </x:c>
      <x:c r="H187" s="11" t="n">
        <x:f>F187*G187</x:f>
        <x:v>80</x:v>
      </x:c>
      <x:c r="I187" s="8" t="str">
        <x:v>Цена не найдена</x:v>
      </x:c>
      <x:c r="J187" s="10" t="n">
        <x:v>1</x:v>
      </x:c>
      <x:c r="K187" s="10" t="n">
        <x:v>0</x:v>
      </x:c>
      <x:c r="L187" s="10" t="n">
        <x:v>1</x:v>
      </x:c>
      <x:c r="M187" s="8" t="str">
        <x:v>Работа с вложенными ресурсами</x:v>
      </x:c>
      <x:c r="N187" s="8" t="str">
        <x:v>8 - Видео - ЛСР.pdf</x:v>
      </x:c>
      <x:c r="O187" s="8" t="str">
        <x:v>м</x:v>
      </x:c>
      <x:c r="P187" s="8" t="str">
        <x:v>Раздел 1.</x:v>
      </x:c>
    </x:row>
    <x:row r="188" ht="39" customHeight="1">
      <x:c r="A188" s="13" t="str"/>
      <x:c r="B188" s="13" t="str">
        <x:v>Расчётные и корректирующие строки</x:v>
      </x:c>
      <x:c r="C188" s="13" t="str">
        <x:v>13.1</x:v>
      </x:c>
      <x:c r="D188" s="13" t="str">
        <x:v>Вспомогательные ненормируемые материальные ресурсы</x:v>
      </x:c>
      <x:c r="E188" s="13" t="str">
        <x:v>%</x:v>
      </x:c>
      <x:c r="F188" s="15" t="n">
        <x:v>2</x:v>
      </x:c>
      <x:c r="G188" s="16" t="n">
        <x:v>1</x:v>
      </x:c>
      <x:c r="H188" s="15" t="n">
        <x:f>F188*G188</x:f>
        <x:v>2</x:v>
      </x:c>
      <x:c r="I188" s="13" t="str">
        <x:v>Не искать отдельно</x:v>
      </x:c>
      <x:c r="J188" s="14" t="n">
        <x:v>0</x:v>
      </x:c>
      <x:c r="K188" s="14" t="n">
        <x:v>0</x:v>
      </x:c>
      <x:c r="L188" s="14" t="n">
        <x:v>0</x:v>
      </x:c>
      <x:c r="M188" s="13" t="str">
        <x:v>Ресурс родительской работы</x:v>
      </x:c>
      <x:c r="N188" s="13" t="str">
        <x:v>8 - Видео - ЛСР.pdf</x:v>
      </x:c>
      <x:c r="O188" s="13" t="str">
        <x:v>%</x:v>
      </x:c>
      <x:c r="P188" s="13" t="str">
        <x:v>Раздел 1.</x:v>
      </x:c>
    </x:row>
    <x:row r="189" ht="54" customHeight="1">
      <x:c r="A189" s="8" t="str">
        <x:v>N118</x:v>
      </x:c>
      <x:c r="B189" s="8" t="str">
        <x:v>Электромонтаж и наружное освещение</x:v>
      </x:c>
      <x:c r="C189" s="8" t="str">
        <x:v>14</x:v>
      </x:c>
      <x:c r="D189" s="8" t="str">
        <x:v>Затягивание провода в проложенные трубы и металлические рукава первого одножильного или многожильного в общей оплетке, суммарное сечение: до 6 мм2 - в опоре</x:v>
      </x:c>
      <x:c r="E189" s="8" t="str">
        <x:v>100 м</x:v>
      </x:c>
      <x:c r="F189" s="11" t="n">
        <x:v>1.68</x:v>
      </x:c>
      <x:c r="G189" s="12" t="n">
        <x:v>100</x:v>
      </x:c>
      <x:c r="H189" s="11" t="n">
        <x:f>F189*G189</x:f>
        <x:v>168</x:v>
      </x:c>
      <x:c r="I189" s="8" t="str">
        <x:v>Цена не найдена</x:v>
      </x:c>
      <x:c r="J189" s="10" t="n">
        <x:v>1</x:v>
      </x:c>
      <x:c r="K189" s="10" t="n">
        <x:v>0</x:v>
      </x:c>
      <x:c r="L189" s="10" t="n">
        <x:v>1</x:v>
      </x:c>
      <x:c r="M189" s="8" t="str">
        <x:v>Работа с вложенными ресурсами</x:v>
      </x:c>
      <x:c r="N189" s="8" t="str">
        <x:v>8 - Видео - ЛСР.pdf</x:v>
      </x:c>
      <x:c r="O189" s="8" t="str">
        <x:v>м</x:v>
      </x:c>
      <x:c r="P189" s="8" t="str">
        <x:v>Раздел 1.</x:v>
      </x:c>
    </x:row>
    <x:row r="190" ht="39" customHeight="1">
      <x:c r="A190" s="13" t="str"/>
      <x:c r="B190" s="13" t="str">
        <x:v>Расчётные и корректирующие строки</x:v>
      </x:c>
      <x:c r="C190" s="13" t="str">
        <x:v>14.1</x:v>
      </x:c>
      <x:c r="D190" s="13" t="str">
        <x:v>Вспомогательные ненормируемые материальные ресурсы</x:v>
      </x:c>
      <x:c r="E190" s="13" t="str">
        <x:v>%</x:v>
      </x:c>
      <x:c r="F190" s="15" t="n">
        <x:v>2</x:v>
      </x:c>
      <x:c r="G190" s="16" t="n">
        <x:v>1</x:v>
      </x:c>
      <x:c r="H190" s="15" t="n">
        <x:f>F190*G190</x:f>
        <x:v>2</x:v>
      </x:c>
      <x:c r="I190" s="13" t="str">
        <x:v>Не искать отдельно</x:v>
      </x:c>
      <x:c r="J190" s="14" t="n">
        <x:v>0</x:v>
      </x:c>
      <x:c r="K190" s="14" t="n">
        <x:v>0</x:v>
      </x:c>
      <x:c r="L190" s="14" t="n">
        <x:v>0</x:v>
      </x:c>
      <x:c r="M190" s="13" t="str">
        <x:v>Ресурс родительской работы</x:v>
      </x:c>
      <x:c r="N190" s="13" t="str">
        <x:v>8 - Видео - ЛСР.pdf</x:v>
      </x:c>
      <x:c r="O190" s="13" t="str">
        <x:v>%</x:v>
      </x:c>
      <x:c r="P190" s="13" t="str">
        <x:v>Раздел 1.</x:v>
      </x:c>
    </x:row>
    <x:row r="191" ht="39" customHeight="1">
      <x:c r="A191" s="8" t="str">
        <x:v>N140</x:v>
      </x:c>
      <x:c r="B191" s="8" t="str">
        <x:v>Монтаж связи и видеонаблюдения</x:v>
      </x:c>
      <x:c r="C191" s="8" t="str">
        <x:v>15</x:v>
      </x:c>
      <x:c r="D191" s="8" t="str">
        <x:v>Приборы, устанавливаемые на металлоконструкциях, щитах и пультах, масса: до 5 кг - коммутатор</x:v>
      </x:c>
      <x:c r="E191" s="8" t="str">
        <x:v>шт</x:v>
      </x:c>
      <x:c r="F191" s="11" t="n">
        <x:v>12</x:v>
      </x:c>
      <x:c r="G191" s="12" t="n">
        <x:v>1</x:v>
      </x:c>
      <x:c r="H191" s="11" t="n">
        <x:f>F191*G191</x:f>
        <x:v>12</x:v>
      </x:c>
      <x:c r="I191" s="8" t="str">
        <x:v>Кандидаты</x:v>
      </x:c>
      <x:c r="J191" s="10" t="n">
        <x:v>1</x:v>
      </x:c>
      <x:c r="K191" s="10" t="n">
        <x:v>0</x:v>
      </x:c>
      <x:c r="L191" s="10" t="n">
        <x:v>1</x:v>
      </x:c>
      <x:c r="M191" s="8" t="str">
        <x:v>Работа с вложенными ресурсами</x:v>
      </x:c>
      <x:c r="N191" s="8" t="str">
        <x:v>8 - Видео - ЛСР.pdf</x:v>
      </x:c>
      <x:c r="O191" s="8" t="str">
        <x:v>шт</x:v>
      </x:c>
      <x:c r="P191" s="8" t="str">
        <x:v>Раздел 1.</x:v>
      </x:c>
    </x:row>
    <x:row r="192" ht="39" customHeight="1">
      <x:c r="A192" s="13" t="str"/>
      <x:c r="B192" s="13" t="str">
        <x:v>Расчётные и корректирующие строки</x:v>
      </x:c>
      <x:c r="C192" s="13" t="str">
        <x:v>15.1</x:v>
      </x:c>
      <x:c r="D192" s="13" t="str">
        <x:v>Вспомогательные ненормируемые материальные ресурсы</x:v>
      </x:c>
      <x:c r="E192" s="13" t="str">
        <x:v>%</x:v>
      </x:c>
      <x:c r="F192" s="15" t="n">
        <x:v>2</x:v>
      </x:c>
      <x:c r="G192" s="16" t="n">
        <x:v>1</x:v>
      </x:c>
      <x:c r="H192" s="15" t="n">
        <x:f>F192*G192</x:f>
        <x:v>2</x:v>
      </x:c>
      <x:c r="I192" s="13" t="str">
        <x:v>Не искать отдельно</x:v>
      </x:c>
      <x:c r="J192" s="14" t="n">
        <x:v>0</x:v>
      </x:c>
      <x:c r="K192" s="14" t="n">
        <x:v>0</x:v>
      </x:c>
      <x:c r="L192" s="14" t="n">
        <x:v>0</x:v>
      </x:c>
      <x:c r="M192" s="13" t="str">
        <x:v>Ресурс родительской работы</x:v>
      </x:c>
      <x:c r="N192" s="13" t="str">
        <x:v>8 - Видео - ЛСР.pdf</x:v>
      </x:c>
      <x:c r="O192" s="13" t="str">
        <x:v>%</x:v>
      </x:c>
      <x:c r="P192" s="13" t="str">
        <x:v>Раздел 1.</x:v>
      </x:c>
    </x:row>
    <x:row r="193" ht="54" customHeight="1">
      <x:c r="A193" s="8" t="str">
        <x:v>N139</x:v>
      </x:c>
      <x:c r="B193" s="8" t="str">
        <x:v>Монтаж связи и видеонаблюдения</x:v>
      </x:c>
      <x:c r="C193" s="8" t="str">
        <x:v>16</x:v>
      </x:c>
      <x:c r="D193" s="8" t="str">
        <x:v>Настройка простых сетевых трактов: конфигурация и настройка сетевых компонентов (мост, маршрутизатор, модем и т.п.) - коммутатор</x:v>
      </x:c>
      <x:c r="E193" s="8" t="str">
        <x:v>шт</x:v>
      </x:c>
      <x:c r="F193" s="11" t="n">
        <x:v>12</x:v>
      </x:c>
      <x:c r="G193" s="12" t="n">
        <x:v>1</x:v>
      </x:c>
      <x:c r="H193" s="11" t="n">
        <x:f>F193*G193</x:f>
        <x:v>12</x:v>
      </x:c>
      <x:c r="I193" s="8" t="str">
        <x:v>Кандидаты</x:v>
      </x:c>
      <x:c r="J193" s="10" t="n">
        <x:v>1</x:v>
      </x:c>
      <x:c r="K193" s="10" t="n">
        <x:v>0</x:v>
      </x:c>
      <x:c r="L193" s="10" t="n">
        <x:v>1</x:v>
      </x:c>
      <x:c r="M193" s="8" t="str">
        <x:v>Работа с вложенными ресурсами</x:v>
      </x:c>
      <x:c r="N193" s="8" t="str">
        <x:v>8 - Видео - ЛСР.pdf</x:v>
      </x:c>
      <x:c r="O193" s="8" t="str">
        <x:v>шт</x:v>
      </x:c>
      <x:c r="P193" s="8" t="str">
        <x:v>Раздел 1.</x:v>
      </x:c>
    </x:row>
    <x:row r="194" ht="39" customHeight="1">
      <x:c r="A194" s="13" t="str"/>
      <x:c r="B194" s="13" t="str">
        <x:v>Расчётные и корректирующие строки</x:v>
      </x:c>
      <x:c r="C194" s="13" t="str">
        <x:v>16.1</x:v>
      </x:c>
      <x:c r="D194" s="13" t="str">
        <x:v>Вспомогательные ненормируемые материальные ресурсы</x:v>
      </x:c>
      <x:c r="E194" s="13" t="str">
        <x:v>%</x:v>
      </x:c>
      <x:c r="F194" s="15" t="n">
        <x:v>2</x:v>
      </x:c>
      <x:c r="G194" s="16" t="n">
        <x:v>1</x:v>
      </x:c>
      <x:c r="H194" s="15" t="n">
        <x:f>F194*G194</x:f>
        <x:v>2</x:v>
      </x:c>
      <x:c r="I194" s="13" t="str">
        <x:v>Не искать отдельно</x:v>
      </x:c>
      <x:c r="J194" s="14" t="n">
        <x:v>0</x:v>
      </x:c>
      <x:c r="K194" s="14" t="n">
        <x:v>0</x:v>
      </x:c>
      <x:c r="L194" s="14" t="n">
        <x:v>0</x:v>
      </x:c>
      <x:c r="M194" s="13" t="str">
        <x:v>Ресурс родительской работы</x:v>
      </x:c>
      <x:c r="N194" s="13" t="str">
        <x:v>8 - Видео - ЛСР.pdf</x:v>
      </x:c>
      <x:c r="O194" s="13" t="str">
        <x:v>%</x:v>
      </x:c>
      <x:c r="P194" s="13" t="str">
        <x:v>Раздел 1.</x:v>
      </x:c>
    </x:row>
    <x:row r="195" ht="39" customHeight="1">
      <x:c r="A195" s="8" t="str">
        <x:v>N136</x:v>
      </x:c>
      <x:c r="B195" s="8" t="str">
        <x:v>Монтаж связи и видеонаблюдения</x:v>
      </x:c>
      <x:c r="C195" s="8" t="str">
        <x:v>17</x:v>
      </x:c>
      <x:c r="D195" s="8" t="str">
        <x:v>Аппаратура телевизионная с 1 малогабаритной беструбочной камерой - видеокамера</x:v>
      </x:c>
      <x:c r="E195" s="8" t="str">
        <x:v>компл</x:v>
      </x:c>
      <x:c r="F195" s="11" t="n">
        <x:v>28</x:v>
      </x:c>
      <x:c r="G195" s="12" t="n">
        <x:v>1</x:v>
      </x:c>
      <x:c r="H195" s="11" t="n">
        <x:f>F195*G195</x:f>
        <x:v>28</x:v>
      </x:c>
      <x:c r="I195" s="8" t="str">
        <x:v>Цена не найдена</x:v>
      </x:c>
      <x:c r="J195" s="10" t="n">
        <x:v>1</x:v>
      </x:c>
      <x:c r="K195" s="10" t="n">
        <x:v>0</x:v>
      </x:c>
      <x:c r="L195" s="10" t="n">
        <x:v>1</x:v>
      </x:c>
      <x:c r="M195" s="8" t="str">
        <x:v>Работа с вложенными ресурсами</x:v>
      </x:c>
      <x:c r="N195" s="8" t="str">
        <x:v>8 - Видео - ЛСР.pdf</x:v>
      </x:c>
      <x:c r="O195" s="8" t="str">
        <x:v>компл</x:v>
      </x:c>
      <x:c r="P195" s="8" t="str">
        <x:v>Раздел 1.</x:v>
      </x:c>
    </x:row>
    <x:row r="196" ht="39" customHeight="1">
      <x:c r="A196" s="13" t="str"/>
      <x:c r="B196" s="13" t="str">
        <x:v>Расчётные и корректирующие строки</x:v>
      </x:c>
      <x:c r="C196" s="13" t="str">
        <x:v>17.1</x:v>
      </x:c>
      <x:c r="D196" s="13" t="str">
        <x:v>Вспомогательные ненормируемые материальные ресурсы</x:v>
      </x:c>
      <x:c r="E196" s="13" t="str">
        <x:v>%</x:v>
      </x:c>
      <x:c r="F196" s="15" t="n">
        <x:v>2</x:v>
      </x:c>
      <x:c r="G196" s="16" t="n">
        <x:v>1</x:v>
      </x:c>
      <x:c r="H196" s="15" t="n">
        <x:f>F196*G196</x:f>
        <x:v>2</x:v>
      </x:c>
      <x:c r="I196" s="13" t="str">
        <x:v>Не искать отдельно</x:v>
      </x:c>
      <x:c r="J196" s="14" t="n">
        <x:v>0</x:v>
      </x:c>
      <x:c r="K196" s="14" t="n">
        <x:v>0</x:v>
      </x:c>
      <x:c r="L196" s="14" t="n">
        <x:v>0</x:v>
      </x:c>
      <x:c r="M196" s="13" t="str">
        <x:v>Ресурс родительской работы</x:v>
      </x:c>
      <x:c r="N196" s="13" t="str">
        <x:v>8 - Видео - ЛСР.pdf</x:v>
      </x:c>
      <x:c r="O196" s="13" t="str">
        <x:v>%</x:v>
      </x:c>
      <x:c r="P196" s="13" t="str">
        <x:v>Раздел 1.</x:v>
      </x:c>
    </x:row>
    <x:row r="197" ht="39" customHeight="1">
      <x:c r="A197" s="8" t="str">
        <x:v>N146</x:v>
      </x:c>
      <x:c r="B197" s="8" t="str">
        <x:v>Монтаж связи и видеонаблюдения</x:v>
      </x:c>
      <x:c r="C197" s="8" t="str">
        <x:v>18</x:v>
      </x:c>
      <x:c r="D197" s="8" t="str">
        <x:v>Ящик для трубных проводок протяжной или коробка, размер: до 200х200 мм - монтажная коробка для видеокамеры</x:v>
      </x:c>
      <x:c r="E197" s="8" t="str">
        <x:v>шт</x:v>
      </x:c>
      <x:c r="F197" s="11" t="n">
        <x:v>28</x:v>
      </x:c>
      <x:c r="G197" s="12" t="n">
        <x:v>1</x:v>
      </x:c>
      <x:c r="H197" s="11" t="n">
        <x:f>F197*G197</x:f>
        <x:v>28</x:v>
      </x:c>
      <x:c r="I197" s="8" t="str">
        <x:v>Кандидаты</x:v>
      </x:c>
      <x:c r="J197" s="10" t="n">
        <x:v>1</x:v>
      </x:c>
      <x:c r="K197" s="10" t="n">
        <x:v>0</x:v>
      </x:c>
      <x:c r="L197" s="10" t="n">
        <x:v>1</x:v>
      </x:c>
      <x:c r="M197" s="8" t="str">
        <x:v>Работа с вложенными ресурсами</x:v>
      </x:c>
      <x:c r="N197" s="8" t="str">
        <x:v>8 - Видео - ЛСР.pdf</x:v>
      </x:c>
      <x:c r="O197" s="8" t="str">
        <x:v>шт</x:v>
      </x:c>
      <x:c r="P197" s="8" t="str">
        <x:v>Раздел 1.</x:v>
      </x:c>
    </x:row>
    <x:row r="198" ht="39" customHeight="1">
      <x:c r="A198" s="13" t="str"/>
      <x:c r="B198" s="13" t="str">
        <x:v>Расчётные и корректирующие строки</x:v>
      </x:c>
      <x:c r="C198" s="13" t="str">
        <x:v>18.1</x:v>
      </x:c>
      <x:c r="D198" s="13" t="str">
        <x:v>Вспомогательные ненормируемые материальные ресурсы</x:v>
      </x:c>
      <x:c r="E198" s="13" t="str">
        <x:v>%</x:v>
      </x:c>
      <x:c r="F198" s="15" t="n">
        <x:v>2</x:v>
      </x:c>
      <x:c r="G198" s="16" t="n">
        <x:v>1</x:v>
      </x:c>
      <x:c r="H198" s="15" t="n">
        <x:f>F198*G198</x:f>
        <x:v>2</x:v>
      </x:c>
      <x:c r="I198" s="13" t="str">
        <x:v>Не искать отдельно</x:v>
      </x:c>
      <x:c r="J198" s="14" t="n">
        <x:v>0</x:v>
      </x:c>
      <x:c r="K198" s="14" t="n">
        <x:v>0</x:v>
      </x:c>
      <x:c r="L198" s="14" t="n">
        <x:v>0</x:v>
      </x:c>
      <x:c r="M198" s="13" t="str">
        <x:v>Ресурс родительской работы</x:v>
      </x:c>
      <x:c r="N198" s="13" t="str">
        <x:v>8 - Видео - ЛСР.pdf</x:v>
      </x:c>
      <x:c r="O198" s="13" t="str">
        <x:v>%</x:v>
      </x:c>
      <x:c r="P198" s="13" t="str">
        <x:v>Раздел 1.</x:v>
      </x:c>
    </x:row>
    <x:row r="199" ht="39" customHeight="1">
      <x:c r="A199" s="8" t="str">
        <x:v>N144</x:v>
      </x:c>
      <x:c r="B199" s="8" t="str">
        <x:v>Монтаж связи и видеонаблюдения</x:v>
      </x:c>
      <x:c r="C199" s="8" t="str">
        <x:v>19</x:v>
      </x:c>
      <x:c r="D199" s="8" t="str">
        <x:v>Устройство ультразвуковое,: блок питания и контроля - источник бесперебойного питания</x:v>
      </x:c>
      <x:c r="E199" s="8" t="str">
        <x:v>шт</x:v>
      </x:c>
      <x:c r="F199" s="11" t="n">
        <x:v>1</x:v>
      </x:c>
      <x:c r="G199" s="12" t="n">
        <x:v>1</x:v>
      </x:c>
      <x:c r="H199" s="11" t="n">
        <x:f>F199*G199</x:f>
        <x:v>1</x:v>
      </x:c>
      <x:c r="I199" s="8" t="str">
        <x:v>Кандидаты</x:v>
      </x:c>
      <x:c r="J199" s="10" t="n">
        <x:v>1</x:v>
      </x:c>
      <x:c r="K199" s="10" t="n">
        <x:v>0</x:v>
      </x:c>
      <x:c r="L199" s="10" t="n">
        <x:v>1</x:v>
      </x:c>
      <x:c r="M199" s="8" t="str">
        <x:v>Работа с вложенными ресурсами</x:v>
      </x:c>
      <x:c r="N199" s="8" t="str">
        <x:v>8 - Видео - ЛСР.pdf</x:v>
      </x:c>
      <x:c r="O199" s="8" t="str">
        <x:v>шт</x:v>
      </x:c>
      <x:c r="P199" s="8" t="str">
        <x:v>Раздел 1.</x:v>
      </x:c>
    </x:row>
    <x:row r="200" ht="39" customHeight="1">
      <x:c r="A200" s="13" t="str"/>
      <x:c r="B200" s="13" t="str">
        <x:v>Расчётные и корректирующие строки</x:v>
      </x:c>
      <x:c r="C200" s="13" t="str">
        <x:v>19.1</x:v>
      </x:c>
      <x:c r="D200" s="13" t="str">
        <x:v>Вспомогательные ненормируемые материальные ресурсы</x:v>
      </x:c>
      <x:c r="E200" s="13" t="str">
        <x:v>%</x:v>
      </x:c>
      <x:c r="F200" s="15" t="n">
        <x:v>2</x:v>
      </x:c>
      <x:c r="G200" s="16" t="n">
        <x:v>1</x:v>
      </x:c>
      <x:c r="H200" s="15" t="n">
        <x:f>F200*G200</x:f>
        <x:v>2</x:v>
      </x:c>
      <x:c r="I200" s="13" t="str">
        <x:v>Не искать отдельно</x:v>
      </x:c>
      <x:c r="J200" s="14" t="n">
        <x:v>0</x:v>
      </x:c>
      <x:c r="K200" s="14" t="n">
        <x:v>0</x:v>
      </x:c>
      <x:c r="L200" s="14" t="n">
        <x:v>0</x:v>
      </x:c>
      <x:c r="M200" s="13" t="str">
        <x:v>Ресурс родительской работы</x:v>
      </x:c>
      <x:c r="N200" s="13" t="str">
        <x:v>8 - Видео - ЛСР.pdf</x:v>
      </x:c>
      <x:c r="O200" s="13" t="str">
        <x:v>%</x:v>
      </x:c>
      <x:c r="P200" s="13" t="str">
        <x:v>Раздел 1.</x:v>
      </x:c>
    </x:row>
    <x:row r="201" ht="39" customHeight="1">
      <x:c r="A201" s="8" t="str">
        <x:v>N138</x:v>
      </x:c>
      <x:c r="B201" s="8" t="str">
        <x:v>Монтаж связи и видеонаблюдения</x:v>
      </x:c>
      <x:c r="C201" s="8" t="str">
        <x:v>20</x:v>
      </x:c>
      <x:c r="D201" s="8" t="str">
        <x:v>Монтаж оптического кросса с учетом измерений на волоконно- оптическом кабеле с числом волокон: 4 - оптич бокс (кросс)</x:v>
      </x:c>
      <x:c r="E201" s="8" t="str">
        <x:v>шт</x:v>
      </x:c>
      <x:c r="F201" s="11" t="n">
        <x:v>1</x:v>
      </x:c>
      <x:c r="G201" s="12" t="n">
        <x:v>1</x:v>
      </x:c>
      <x:c r="H201" s="11" t="n">
        <x:f>F201*G201</x:f>
        <x:v>1</x:v>
      </x:c>
      <x:c r="I201" s="8" t="str">
        <x:v>Цена не найдена</x:v>
      </x:c>
      <x:c r="J201" s="10" t="n">
        <x:v>1</x:v>
      </x:c>
      <x:c r="K201" s="10" t="n">
        <x:v>0</x:v>
      </x:c>
      <x:c r="L201" s="10" t="n">
        <x:v>1</x:v>
      </x:c>
      <x:c r="M201" s="8" t="str">
        <x:v>Работа с вложенными ресурсами</x:v>
      </x:c>
      <x:c r="N201" s="8" t="str">
        <x:v>8 - Видео - ЛСР.pdf</x:v>
      </x:c>
      <x:c r="O201" s="8" t="str">
        <x:v>шт</x:v>
      </x:c>
      <x:c r="P201" s="8" t="str">
        <x:v>Раздел 1.</x:v>
      </x:c>
    </x:row>
    <x:row r="202" ht="39" customHeight="1">
      <x:c r="A202" s="13" t="str"/>
      <x:c r="B202" s="13" t="str">
        <x:v>Расчётные и корректирующие строки</x:v>
      </x:c>
      <x:c r="C202" s="13" t="str">
        <x:v>20.1</x:v>
      </x:c>
      <x:c r="D202" s="13" t="str">
        <x:v>Вспомогательные ненормируемые материальные ресурсы</x:v>
      </x:c>
      <x:c r="E202" s="13" t="str">
        <x:v>%</x:v>
      </x:c>
      <x:c r="F202" s="15" t="n">
        <x:v>2</x:v>
      </x:c>
      <x:c r="G202" s="16" t="n">
        <x:v>1</x:v>
      </x:c>
      <x:c r="H202" s="15" t="n">
        <x:f>F202*G202</x:f>
        <x:v>2</x:v>
      </x:c>
      <x:c r="I202" s="13" t="str">
        <x:v>Не искать отдельно</x:v>
      </x:c>
      <x:c r="J202" s="14" t="n">
        <x:v>0</x:v>
      </x:c>
      <x:c r="K202" s="14" t="n">
        <x:v>0</x:v>
      </x:c>
      <x:c r="L202" s="14" t="n">
        <x:v>0</x:v>
      </x:c>
      <x:c r="M202" s="13" t="str">
        <x:v>Ресурс родительской работы</x:v>
      </x:c>
      <x:c r="N202" s="13" t="str">
        <x:v>8 - Видео - ЛСР.pdf</x:v>
      </x:c>
      <x:c r="O202" s="13" t="str">
        <x:v>%</x:v>
      </x:c>
      <x:c r="P202" s="13" t="str">
        <x:v>Раздел 1.</x:v>
      </x:c>
    </x:row>
    <x:row r="203" ht="39" customHeight="1">
      <x:c r="A203" s="8" t="str">
        <x:v>N143</x:v>
      </x:c>
      <x:c r="B203" s="8" t="str">
        <x:v>Монтаж связи и видеонаблюдения</x:v>
      </x:c>
      <x:c r="C203" s="8" t="str">
        <x:v>21</x:v>
      </x:c>
      <x:c r="D203" s="8" t="str">
        <x:v>Съемные и выдвижные блоки (модули, ячейки, ТЭЗ), масса: до 5 кг - жесткий диск</x:v>
      </x:c>
      <x:c r="E203" s="8" t="str">
        <x:v>шт</x:v>
      </x:c>
      <x:c r="F203" s="11" t="n">
        <x:v>4</x:v>
      </x:c>
      <x:c r="G203" s="12" t="n">
        <x:v>1</x:v>
      </x:c>
      <x:c r="H203" s="11" t="n">
        <x:f>F203*G203</x:f>
        <x:v>4</x:v>
      </x:c>
      <x:c r="I203" s="8" t="str">
        <x:v>Кандидаты</x:v>
      </x:c>
      <x:c r="J203" s="10" t="n">
        <x:v>1</x:v>
      </x:c>
      <x:c r="K203" s="10" t="n">
        <x:v>0</x:v>
      </x:c>
      <x:c r="L203" s="10" t="n">
        <x:v>1</x:v>
      </x:c>
      <x:c r="M203" s="8" t="str">
        <x:v>Работа с вложенными ресурсами</x:v>
      </x:c>
      <x:c r="N203" s="8" t="str">
        <x:v>8 - Видео - ЛСР.pdf</x:v>
      </x:c>
      <x:c r="O203" s="8" t="str">
        <x:v>шт</x:v>
      </x:c>
      <x:c r="P203" s="8" t="str">
        <x:v>Раздел 1.</x:v>
      </x:c>
    </x:row>
    <x:row r="204" ht="39" customHeight="1">
      <x:c r="A204" s="13" t="str"/>
      <x:c r="B204" s="13" t="str">
        <x:v>Расчётные и корректирующие строки</x:v>
      </x:c>
      <x:c r="C204" s="13" t="str">
        <x:v>21.1</x:v>
      </x:c>
      <x:c r="D204" s="13" t="str">
        <x:v>Вспомогательные ненормируемые материальные ресурсы</x:v>
      </x:c>
      <x:c r="E204" s="13" t="str">
        <x:v>%</x:v>
      </x:c>
      <x:c r="F204" s="15" t="n">
        <x:v>2</x:v>
      </x:c>
      <x:c r="G204" s="16" t="n">
        <x:v>1</x:v>
      </x:c>
      <x:c r="H204" s="15" t="n">
        <x:f>F204*G204</x:f>
        <x:v>2</x:v>
      </x:c>
      <x:c r="I204" s="13" t="str">
        <x:v>Не искать отдельно</x:v>
      </x:c>
      <x:c r="J204" s="14" t="n">
        <x:v>0</x:v>
      </x:c>
      <x:c r="K204" s="14" t="n">
        <x:v>0</x:v>
      </x:c>
      <x:c r="L204" s="14" t="n">
        <x:v>0</x:v>
      </x:c>
      <x:c r="M204" s="13" t="str">
        <x:v>Ресурс родительской работы</x:v>
      </x:c>
      <x:c r="N204" s="13" t="str">
        <x:v>8 - Видео - ЛСР.pdf</x:v>
      </x:c>
      <x:c r="O204" s="13" t="str">
        <x:v>%</x:v>
      </x:c>
      <x:c r="P204" s="13" t="str">
        <x:v>Раздел 1.</x:v>
      </x:c>
    </x:row>
    <x:row r="205" ht="39" customHeight="1">
      <x:c r="A205" s="8" t="str">
        <x:v>N142</x:v>
      </x:c>
      <x:c r="B205" s="8" t="str">
        <x:v>Монтаж связи и видеонаблюдения</x:v>
      </x:c>
      <x:c r="C205" s="8" t="str">
        <x:v>22</x:v>
      </x:c>
      <x:c r="D205" s="8" t="str">
        <x:v>Съемные и выдвижные блоки (модули, ячейки, ТЭЗ), масса: до 5 кг - КВМ консоль</x:v>
      </x:c>
      <x:c r="E205" s="8" t="str">
        <x:v>шт</x:v>
      </x:c>
      <x:c r="F205" s="11" t="n">
        <x:v>1</x:v>
      </x:c>
      <x:c r="G205" s="12" t="n">
        <x:v>1</x:v>
      </x:c>
      <x:c r="H205" s="11" t="n">
        <x:f>F205*G205</x:f>
        <x:v>1</x:v>
      </x:c>
      <x:c r="I205" s="8" t="str">
        <x:v>Кандидаты</x:v>
      </x:c>
      <x:c r="J205" s="10" t="n">
        <x:v>1</x:v>
      </x:c>
      <x:c r="K205" s="10" t="n">
        <x:v>0</x:v>
      </x:c>
      <x:c r="L205" s="10" t="n">
        <x:v>1</x:v>
      </x:c>
      <x:c r="M205" s="8" t="str">
        <x:v>Работа с вложенными ресурсами</x:v>
      </x:c>
      <x:c r="N205" s="8" t="str">
        <x:v>8 - Видео - ЛСР.pdf</x:v>
      </x:c>
      <x:c r="O205" s="8" t="str">
        <x:v>шт</x:v>
      </x:c>
      <x:c r="P205" s="8" t="str">
        <x:v>Раздел 1.</x:v>
      </x:c>
    </x:row>
    <x:row r="206" ht="39" customHeight="1">
      <x:c r="A206" s="13" t="str"/>
      <x:c r="B206" s="13" t="str">
        <x:v>Расчётные и корректирующие строки</x:v>
      </x:c>
      <x:c r="C206" s="13" t="str">
        <x:v>22.1</x:v>
      </x:c>
      <x:c r="D206" s="13" t="str">
        <x:v>Вспомогательные ненормируемые материальные ресурсы</x:v>
      </x:c>
      <x:c r="E206" s="13" t="str">
        <x:v>%</x:v>
      </x:c>
      <x:c r="F206" s="15" t="n">
        <x:v>2</x:v>
      </x:c>
      <x:c r="G206" s="16" t="n">
        <x:v>1</x:v>
      </x:c>
      <x:c r="H206" s="15" t="n">
        <x:f>F206*G206</x:f>
        <x:v>2</x:v>
      </x:c>
      <x:c r="I206" s="13" t="str">
        <x:v>Не искать отдельно</x:v>
      </x:c>
      <x:c r="J206" s="14" t="n">
        <x:v>0</x:v>
      </x:c>
      <x:c r="K206" s="14" t="n">
        <x:v>0</x:v>
      </x:c>
      <x:c r="L206" s="14" t="n">
        <x:v>0</x:v>
      </x:c>
      <x:c r="M206" s="13" t="str">
        <x:v>Ресурс родительской работы</x:v>
      </x:c>
      <x:c r="N206" s="13" t="str">
        <x:v>8 - Видео - ЛСР.pdf</x:v>
      </x:c>
      <x:c r="O206" s="13" t="str">
        <x:v>%</x:v>
      </x:c>
      <x:c r="P206" s="13" t="str">
        <x:v>Раздел 1.</x:v>
      </x:c>
    </x:row>
    <x:row r="207" ht="39" customHeight="1">
      <x:c r="A207" s="8" t="str">
        <x:v>N137</x:v>
      </x:c>
      <x:c r="B207" s="8" t="str">
        <x:v>Монтаж связи и видеонаблюдения</x:v>
      </x:c>
      <x:c r="C207" s="8" t="str">
        <x:v>23</x:v>
      </x:c>
      <x:c r="D207" s="8" t="str">
        <x:v>Включение в аппаратуру разъемов штепсельных, количество контактов в разъеме: до 14 шт. - коннекторы</x:v>
      </x:c>
      <x:c r="E207" s="8" t="str">
        <x:v>шт</x:v>
      </x:c>
      <x:c r="F207" s="11" t="n">
        <x:v>56</x:v>
      </x:c>
      <x:c r="G207" s="12" t="n">
        <x:v>1</x:v>
      </x:c>
      <x:c r="H207" s="11" t="n">
        <x:f>F207*G207</x:f>
        <x:v>56</x:v>
      </x:c>
      <x:c r="I207" s="8" t="str">
        <x:v>Кандидаты</x:v>
      </x:c>
      <x:c r="J207" s="10" t="n">
        <x:v>1</x:v>
      </x:c>
      <x:c r="K207" s="10" t="n">
        <x:v>0</x:v>
      </x:c>
      <x:c r="L207" s="10" t="n">
        <x:v>1</x:v>
      </x:c>
      <x:c r="M207" s="8" t="str">
        <x:v>Работа с вложенными ресурсами</x:v>
      </x:c>
      <x:c r="N207" s="8" t="str">
        <x:v>8 - Видео - ЛСР.pdf</x:v>
      </x:c>
      <x:c r="O207" s="8" t="str">
        <x:v>шт</x:v>
      </x:c>
      <x:c r="P207" s="8" t="str">
        <x:v>Раздел 1.</x:v>
      </x:c>
    </x:row>
    <x:row r="208" ht="39" customHeight="1">
      <x:c r="A208" s="13" t="str"/>
      <x:c r="B208" s="13" t="str">
        <x:v>Расчётные и корректирующие строки</x:v>
      </x:c>
      <x:c r="C208" s="13" t="str">
        <x:v>23.1</x:v>
      </x:c>
      <x:c r="D208" s="13" t="str">
        <x:v>Вспомогательные ненормируемые материальные ресурсы</x:v>
      </x:c>
      <x:c r="E208" s="13" t="str">
        <x:v>%</x:v>
      </x:c>
      <x:c r="F208" s="15" t="n">
        <x:v>2</x:v>
      </x:c>
      <x:c r="G208" s="16" t="n">
        <x:v>1</x:v>
      </x:c>
      <x:c r="H208" s="15" t="n">
        <x:f>F208*G208</x:f>
        <x:v>2</x:v>
      </x:c>
      <x:c r="I208" s="13" t="str">
        <x:v>Не искать отдельно</x:v>
      </x:c>
      <x:c r="J208" s="14" t="n">
        <x:v>0</x:v>
      </x:c>
      <x:c r="K208" s="14" t="n">
        <x:v>0</x:v>
      </x:c>
      <x:c r="L208" s="14" t="n">
        <x:v>0</x:v>
      </x:c>
      <x:c r="M208" s="13" t="str">
        <x:v>Ресурс родительской работы</x:v>
      </x:c>
      <x:c r="N208" s="13" t="str">
        <x:v>8 - Видео - ЛСР.pdf</x:v>
      </x:c>
      <x:c r="O208" s="13" t="str">
        <x:v>%</x:v>
      </x:c>
      <x:c r="P208" s="13" t="str">
        <x:v>Раздел 1.</x:v>
      </x:c>
    </x:row>
    <x:row r="209" ht="54" customHeight="1">
      <x:c r="A209" s="8" t="str">
        <x:v>N116</x:v>
      </x:c>
      <x:c r="B209" s="8" t="str">
        <x:v>Электромонтаж и наружное освещение</x:v>
      </x:c>
      <x:c r="C209" s="8" t="str">
        <x:v>24</x:v>
      </x:c>
      <x:c r="D209" s="8" t="str">
        <x:v>Заделка концевая с термоусаживающимися полиэтиленовыми перчатками для 3-5-жильного кабеля с бумажной изоляцией напряжением до 1 кВ, сечение одной жилы: до 35 мм2 -монтаж муфты</x:v>
      </x:c>
      <x:c r="E209" s="8" t="str">
        <x:v>шт</x:v>
      </x:c>
      <x:c r="F209" s="11" t="n">
        <x:v>6</x:v>
      </x:c>
      <x:c r="G209" s="12" t="n">
        <x:v>1</x:v>
      </x:c>
      <x:c r="H209" s="11" t="n">
        <x:f>F209*G209</x:f>
        <x:v>6</x:v>
      </x:c>
      <x:c r="I209" s="8" t="str">
        <x:v>Цена не найдена</x:v>
      </x:c>
      <x:c r="J209" s="10" t="n">
        <x:v>1</x:v>
      </x:c>
      <x:c r="K209" s="10" t="n">
        <x:v>0</x:v>
      </x:c>
      <x:c r="L209" s="10" t="n">
        <x:v>1</x:v>
      </x:c>
      <x:c r="M209" s="8" t="str">
        <x:v>Работа с вложенными ресурсами</x:v>
      </x:c>
      <x:c r="N209" s="8" t="str">
        <x:v>8 - Видео - ЛСР.pdf</x:v>
      </x:c>
      <x:c r="O209" s="8" t="str">
        <x:v>шт</x:v>
      </x:c>
      <x:c r="P209" s="8" t="str">
        <x:v>Раздел 1.</x:v>
      </x:c>
    </x:row>
    <x:row r="210" ht="39" customHeight="1">
      <x:c r="A210" s="13" t="str"/>
      <x:c r="B210" s="13" t="str">
        <x:v>Расчётные и корректирующие строки</x:v>
      </x:c>
      <x:c r="C210" s="13" t="str">
        <x:v>24.1</x:v>
      </x:c>
      <x:c r="D210" s="13" t="str">
        <x:v>Вспомогательные ненормируемые материальные ресурсы</x:v>
      </x:c>
      <x:c r="E210" s="13" t="str">
        <x:v>%</x:v>
      </x:c>
      <x:c r="F210" s="15" t="n">
        <x:v>2</x:v>
      </x:c>
      <x:c r="G210" s="16" t="n">
        <x:v>1</x:v>
      </x:c>
      <x:c r="H210" s="15" t="n">
        <x:f>F210*G210</x:f>
        <x:v>2</x:v>
      </x:c>
      <x:c r="I210" s="13" t="str">
        <x:v>Не искать отдельно</x:v>
      </x:c>
      <x:c r="J210" s="14" t="n">
        <x:v>0</x:v>
      </x:c>
      <x:c r="K210" s="14" t="n">
        <x:v>0</x:v>
      </x:c>
      <x:c r="L210" s="14" t="n">
        <x:v>0</x:v>
      </x:c>
      <x:c r="M210" s="13" t="str">
        <x:v>Ресурс родительской работы</x:v>
      </x:c>
      <x:c r="N210" s="13" t="str">
        <x:v>8 - Видео - ЛСР.pdf</x:v>
      </x:c>
      <x:c r="O210" s="13" t="str">
        <x:v>%</x:v>
      </x:c>
      <x:c r="P210" s="13" t="str">
        <x:v>Раздел 1.</x:v>
      </x:c>
    </x:row>
    <x:row r="211" ht="39" customHeight="1">
      <x:c r="A211" s="8" t="str">
        <x:v>N119</x:v>
      </x:c>
      <x:c r="B211" s="8" t="str">
        <x:v>Электромонтаж и наружное освещение</x:v>
      </x:c>
      <x:c r="C211" s="8" t="str">
        <x:v>25</x:v>
      </x:c>
      <x:c r="D211" s="8" t="str">
        <x:v>Металлические конструкции - (уголок 40х40х4 мм - 36 пм)</x:v>
      </x:c>
      <x:c r="E211" s="8" t="str">
        <x:v>т</x:v>
      </x:c>
      <x:c r="F211" s="11" t="n">
        <x:v>0.04356</x:v>
      </x:c>
      <x:c r="G211" s="12" t="n">
        <x:v>1</x:v>
      </x:c>
      <x:c r="H211" s="11" t="n">
        <x:f>F211*G211</x:f>
        <x:v>0.04356</x:v>
      </x:c>
      <x:c r="I211" s="8" t="str">
        <x:v>Кандидаты</x:v>
      </x:c>
      <x:c r="J211" s="10" t="n">
        <x:v>1</x:v>
      </x:c>
      <x:c r="K211" s="10" t="n">
        <x:v>0</x:v>
      </x:c>
      <x:c r="L211" s="10" t="n">
        <x:v>1</x:v>
      </x:c>
      <x:c r="M211" s="8" t="str">
        <x:v>Работа с вложенными ресурсами</x:v>
      </x:c>
      <x:c r="N211" s="8" t="str">
        <x:v>8 - Видео - ЛСР.pdf</x:v>
      </x:c>
      <x:c r="O211" s="8" t="str">
        <x:v>т</x:v>
      </x:c>
      <x:c r="P211" s="8" t="str">
        <x:v>Раздел 1.</x:v>
      </x:c>
    </x:row>
    <x:row r="212" ht="39" customHeight="1">
      <x:c r="A212" s="13" t="str"/>
      <x:c r="B212" s="13" t="str">
        <x:v>Расчётные и корректирующие строки</x:v>
      </x:c>
      <x:c r="C212" s="13" t="str">
        <x:v>25.1</x:v>
      </x:c>
      <x:c r="D212" s="13" t="str">
        <x:v>Вспомогательные ненормируемые материальные ресурсы</x:v>
      </x:c>
      <x:c r="E212" s="13" t="str">
        <x:v>%</x:v>
      </x:c>
      <x:c r="F212" s="15" t="n">
        <x:v>2</x:v>
      </x:c>
      <x:c r="G212" s="16" t="n">
        <x:v>1</x:v>
      </x:c>
      <x:c r="H212" s="15" t="n">
        <x:f>F212*G212</x:f>
        <x:v>2</x:v>
      </x:c>
      <x:c r="I212" s="13" t="str">
        <x:v>Не искать отдельно</x:v>
      </x:c>
      <x:c r="J212" s="14" t="n">
        <x:v>0</x:v>
      </x:c>
      <x:c r="K212" s="14" t="n">
        <x:v>0</x:v>
      </x:c>
      <x:c r="L212" s="14" t="n">
        <x:v>0</x:v>
      </x:c>
      <x:c r="M212" s="13" t="str">
        <x:v>Ресурс родительской работы</x:v>
      </x:c>
      <x:c r="N212" s="13" t="str">
        <x:v>8 - Видео - ЛСР.pdf</x:v>
      </x:c>
      <x:c r="O212" s="13" t="str">
        <x:v>%</x:v>
      </x:c>
      <x:c r="P212" s="13" t="str">
        <x:v>Раздел 1.</x:v>
      </x:c>
    </x:row>
    <x:row r="213" ht="39" customHeight="1">
      <x:c r="A213" s="8" t="str">
        <x:v>N099</x:v>
      </x:c>
      <x:c r="B213" s="8" t="str">
        <x:v>Основания, бетон и геоматериалы</x:v>
      </x:c>
      <x:c r="C213" s="8" t="str">
        <x:v>26</x:v>
      </x:c>
      <x:c r="D213" s="8" t="str">
        <x:v>Устройство бетонной подготовки</x:v>
      </x:c>
      <x:c r="E213" s="8" t="str">
        <x:v>100 м3</x:v>
      </x:c>
      <x:c r="F213" s="11" t="n">
        <x:v>0.00573</x:v>
      </x:c>
      <x:c r="G213" s="12" t="n">
        <x:v>100</x:v>
      </x:c>
      <x:c r="H213" s="11" t="n">
        <x:f>F213*G213</x:f>
        <x:v>0.573</x:v>
      </x:c>
      <x:c r="I213" s="8" t="str">
        <x:v>Кандидаты</x:v>
      </x:c>
      <x:c r="J213" s="10" t="n">
        <x:v>1</x:v>
      </x:c>
      <x:c r="K213" s="10" t="n">
        <x:v>0</x:v>
      </x:c>
      <x:c r="L213" s="10" t="n">
        <x:v>1</x:v>
      </x:c>
      <x:c r="M213" s="8" t="str">
        <x:v>Работа с вложенными ресурсами</x:v>
      </x:c>
      <x:c r="N213" s="8" t="str">
        <x:v>8 - Видео - ЛСР.pdf</x:v>
      </x:c>
      <x:c r="O213" s="8" t="str">
        <x:v>м³</x:v>
      </x:c>
      <x:c r="P213" s="8" t="str">
        <x:v>Раздел 1.</x:v>
      </x:c>
    </x:row>
    <x:row r="214" ht="39" customHeight="1">
      <x:c r="A214" s="13" t="str">
        <x:v>N006</x:v>
      </x:c>
      <x:c r="B214" s="13" t="str">
        <x:v>Бетон и сухие смеси</x:v>
      </x:c>
      <x:c r="C214" s="13" t="str">
        <x:v>26.1</x:v>
      </x:c>
      <x:c r="D214" s="13" t="str">
        <x:v>Смеси бетонные тяжелого бетона (БСТ) на щебне из гравия, класс В20, F(1)100, W4</x:v>
      </x:c>
      <x:c r="E214" s="13" t="str">
        <x:v>м3</x:v>
      </x:c>
      <x:c r="F214" s="15" t="n">
        <x:v>0.58446</x:v>
      </x:c>
      <x:c r="G214" s="16" t="n">
        <x:v>1</x:v>
      </x:c>
      <x:c r="H214" s="15" t="n">
        <x:f>F214*G214</x:f>
        <x:v>0.58446</x:v>
      </x:c>
      <x:c r="I214" s="13" t="str">
        <x:v>Кандидаты</x:v>
      </x:c>
      <x:c r="J214" s="14" t="n">
        <x:v>1</x:v>
      </x:c>
      <x:c r="K214" s="14" t="n">
        <x:v>0</x:v>
      </x:c>
      <x:c r="L214" s="14" t="n">
        <x:v>1</x:v>
      </x:c>
      <x:c r="M214" s="13" t="str">
        <x:v>Ресурс родительской работы</x:v>
      </x:c>
      <x:c r="N214" s="13" t="str">
        <x:v>8 - Видео - ЛСР.pdf</x:v>
      </x:c>
      <x:c r="O214" s="13" t="str">
        <x:v>м³</x:v>
      </x:c>
      <x:c r="P214" s="13" t="str">
        <x:v>Раздел 1.</x:v>
      </x:c>
    </x:row>
    <x:row r="215" ht="39" customHeight="1">
      <x:c r="A215" s="8" t="str">
        <x:v>N145</x:v>
      </x:c>
      <x:c r="B215" s="8" t="str">
        <x:v>Монтаж связи и видеонаблюдения</x:v>
      </x:c>
      <x:c r="C215" s="8" t="str">
        <x:v>27</x:v>
      </x:c>
      <x:c r="D215" s="8" t="str">
        <x:v>Шкаф (пульт) управления навесной, высота, ширина и глубина: до 900х600х500 мм - ШРН-Э-12.650.1</x:v>
      </x:c>
      <x:c r="E215" s="8" t="str">
        <x:v>шт</x:v>
      </x:c>
      <x:c r="F215" s="11" t="n">
        <x:v>1</x:v>
      </x:c>
      <x:c r="G215" s="12" t="n">
        <x:v>1</x:v>
      </x:c>
      <x:c r="H215" s="11" t="n">
        <x:f>F215*G215</x:f>
        <x:v>1</x:v>
      </x:c>
      <x:c r="I215" s="8" t="str">
        <x:v>Кандидаты</x:v>
      </x:c>
      <x:c r="J215" s="10" t="n">
        <x:v>1</x:v>
      </x:c>
      <x:c r="K215" s="10" t="n">
        <x:v>0</x:v>
      </x:c>
      <x:c r="L215" s="10" t="n">
        <x:v>1</x:v>
      </x:c>
      <x:c r="M215" s="8" t="str">
        <x:v>Работа с вложенными ресурсами</x:v>
      </x:c>
      <x:c r="N215" s="8" t="str">
        <x:v>8 - Видео - ЛСР.pdf</x:v>
      </x:c>
      <x:c r="O215" s="8" t="str">
        <x:v>шт</x:v>
      </x:c>
      <x:c r="P215" s="8" t="str">
        <x:v>Раздел 1.</x:v>
      </x:c>
    </x:row>
    <x:row r="216" ht="39" customHeight="1">
      <x:c r="A216" s="13" t="str"/>
      <x:c r="B216" s="13" t="str">
        <x:v>Расчётные и корректирующие строки</x:v>
      </x:c>
      <x:c r="C216" s="13" t="str">
        <x:v>27.1</x:v>
      </x:c>
      <x:c r="D216" s="13" t="str">
        <x:v>Вспомогательные ненормируемые материальные ресурсы</x:v>
      </x:c>
      <x:c r="E216" s="13" t="str">
        <x:v>%</x:v>
      </x:c>
      <x:c r="F216" s="15" t="n">
        <x:v>2</x:v>
      </x:c>
      <x:c r="G216" s="16" t="n">
        <x:v>1</x:v>
      </x:c>
      <x:c r="H216" s="15" t="n">
        <x:f>F216*G216</x:f>
        <x:v>2</x:v>
      </x:c>
      <x:c r="I216" s="13" t="str">
        <x:v>Не искать отдельно</x:v>
      </x:c>
      <x:c r="J216" s="14" t="n">
        <x:v>0</x:v>
      </x:c>
      <x:c r="K216" s="14" t="n">
        <x:v>0</x:v>
      </x:c>
      <x:c r="L216" s="14" t="n">
        <x:v>0</x:v>
      </x:c>
      <x:c r="M216" s="13" t="str">
        <x:v>Ресурс родительской работы</x:v>
      </x:c>
      <x:c r="N216" s="13" t="str">
        <x:v>8 - Видео - ЛСР.pdf</x:v>
      </x:c>
      <x:c r="O216" s="13" t="str">
        <x:v>%</x:v>
      </x:c>
      <x:c r="P216" s="13" t="str">
        <x:v>Раздел 1.</x:v>
      </x:c>
    </x:row>
    <x:row r="217" ht="39" customHeight="1">
      <x:c r="A217" s="8" t="str">
        <x:v>N122</x:v>
      </x:c>
      <x:c r="B217" s="8" t="str">
        <x:v>Электромонтаж и наружное освещение</x:v>
      </x:c>
      <x:c r="C217" s="8" t="str">
        <x:v>28</x:v>
      </x:c>
      <x:c r="D217" s="8" t="str">
        <x:v>Пульт управления напольный, высота до 1200 мм, глубина и ширина по фронту: до 700х600 мм</x:v>
      </x:c>
      <x:c r="E217" s="8" t="str">
        <x:v>шт</x:v>
      </x:c>
      <x:c r="F217" s="11" t="n">
        <x:v>3</x:v>
      </x:c>
      <x:c r="G217" s="12" t="n">
        <x:v>1</x:v>
      </x:c>
      <x:c r="H217" s="11" t="n">
        <x:f>F217*G217</x:f>
        <x:v>3</x:v>
      </x:c>
      <x:c r="I217" s="8" t="str">
        <x:v>Цена не найдена</x:v>
      </x:c>
      <x:c r="J217" s="10" t="n">
        <x:v>1</x:v>
      </x:c>
      <x:c r="K217" s="10" t="n">
        <x:v>0</x:v>
      </x:c>
      <x:c r="L217" s="10" t="n">
        <x:v>1</x:v>
      </x:c>
      <x:c r="M217" s="8" t="str">
        <x:v>Работа с вложенными ресурсами</x:v>
      </x:c>
      <x:c r="N217" s="8" t="str">
        <x:v>8 - Видео - ЛСР.pdf</x:v>
      </x:c>
      <x:c r="O217" s="8" t="str">
        <x:v>шт</x:v>
      </x:c>
      <x:c r="P217" s="8" t="str">
        <x:v>Раздел 1.</x:v>
      </x:c>
    </x:row>
    <x:row r="218" ht="39" customHeight="1">
      <x:c r="A218" s="13" t="str"/>
      <x:c r="B218" s="13" t="str">
        <x:v>Расчётные и корректирующие строки</x:v>
      </x:c>
      <x:c r="C218" s="13" t="str">
        <x:v>28.1</x:v>
      </x:c>
      <x:c r="D218" s="13" t="str">
        <x:v>Вспомогательные ненормируемые материальные ресурсы</x:v>
      </x:c>
      <x:c r="E218" s="13" t="str">
        <x:v>%</x:v>
      </x:c>
      <x:c r="F218" s="15" t="n">
        <x:v>2</x:v>
      </x:c>
      <x:c r="G218" s="16" t="n">
        <x:v>1</x:v>
      </x:c>
      <x:c r="H218" s="15" t="n">
        <x:f>F218*G218</x:f>
        <x:v>2</x:v>
      </x:c>
      <x:c r="I218" s="13" t="str">
        <x:v>Не искать отдельно</x:v>
      </x:c>
      <x:c r="J218" s="14" t="n">
        <x:v>0</x:v>
      </x:c>
      <x:c r="K218" s="14" t="n">
        <x:v>0</x:v>
      </x:c>
      <x:c r="L218" s="14" t="n">
        <x:v>0</x:v>
      </x:c>
      <x:c r="M218" s="13" t="str">
        <x:v>Ресурс родительской работы</x:v>
      </x:c>
      <x:c r="N218" s="13" t="str">
        <x:v>8 - Видео - ЛСР.pdf</x:v>
      </x:c>
      <x:c r="O218" s="13" t="str">
        <x:v>%</x:v>
      </x:c>
      <x:c r="P218" s="13" t="str">
        <x:v>Раздел 1.</x:v>
      </x:c>
    </x:row>
    <x:row r="219" ht="39" customHeight="1">
      <x:c r="A219" s="8" t="str">
        <x:v>N123</x:v>
      </x:c>
      <x:c r="B219" s="8" t="str">
        <x:v>Электромонтаж и наружное освещение</x:v>
      </x:c>
      <x:c r="C219" s="8" t="str">
        <x:v>29</x:v>
      </x:c>
      <x:c r="D219" s="8" t="str">
        <x:v>Шкаф (пульт) управления навесной, высота, ширина и глубина: до 600х600х350 мм</x:v>
      </x:c>
      <x:c r="E219" s="8" t="str">
        <x:v>шт</x:v>
      </x:c>
      <x:c r="F219" s="11" t="n">
        <x:v>3</x:v>
      </x:c>
      <x:c r="G219" s="12" t="n">
        <x:v>1</x:v>
      </x:c>
      <x:c r="H219" s="11" t="n">
        <x:f>F219*G219</x:f>
        <x:v>3</x:v>
      </x:c>
      <x:c r="I219" s="8" t="str">
        <x:v>Кандидаты</x:v>
      </x:c>
      <x:c r="J219" s="10" t="n">
        <x:v>1</x:v>
      </x:c>
      <x:c r="K219" s="10" t="n">
        <x:v>0</x:v>
      </x:c>
      <x:c r="L219" s="10" t="n">
        <x:v>1</x:v>
      </x:c>
      <x:c r="M219" s="8" t="str">
        <x:v>Работа с вложенными ресурсами</x:v>
      </x:c>
      <x:c r="N219" s="8" t="str">
        <x:v>8 - Видео - ЛСР.pdf</x:v>
      </x:c>
      <x:c r="O219" s="8" t="str">
        <x:v>шт</x:v>
      </x:c>
      <x:c r="P219" s="8" t="str">
        <x:v>Раздел 1.</x:v>
      </x:c>
    </x:row>
    <x:row r="220" ht="39" customHeight="1">
      <x:c r="A220" s="13" t="str"/>
      <x:c r="B220" s="13" t="str">
        <x:v>Расчётные и корректирующие строки</x:v>
      </x:c>
      <x:c r="C220" s="13" t="str">
        <x:v>29.1</x:v>
      </x:c>
      <x:c r="D220" s="13" t="str">
        <x:v>Вспомогательные ненормируемые материальные ресурсы</x:v>
      </x:c>
      <x:c r="E220" s="13" t="str">
        <x:v>%</x:v>
      </x:c>
      <x:c r="F220" s="15" t="n">
        <x:v>2</x:v>
      </x:c>
      <x:c r="G220" s="16" t="n">
        <x:v>1</x:v>
      </x:c>
      <x:c r="H220" s="15" t="n">
        <x:f>F220*G220</x:f>
        <x:v>2</x:v>
      </x:c>
      <x:c r="I220" s="13" t="str">
        <x:v>Не искать отдельно</x:v>
      </x:c>
      <x:c r="J220" s="14" t="n">
        <x:v>0</x:v>
      </x:c>
      <x:c r="K220" s="14" t="n">
        <x:v>0</x:v>
      </x:c>
      <x:c r="L220" s="14" t="n">
        <x:v>0</x:v>
      </x:c>
      <x:c r="M220" s="13" t="str">
        <x:v>Ресурс родительской работы</x:v>
      </x:c>
      <x:c r="N220" s="13" t="str">
        <x:v>8 - Видео - ЛСР.pdf</x:v>
      </x:c>
      <x:c r="O220" s="13" t="str">
        <x:v>%</x:v>
      </x:c>
      <x:c r="P220" s="13" t="str">
        <x:v>Раздел 1.</x:v>
      </x:c>
    </x:row>
    <x:row r="221" ht="39" customHeight="1">
      <x:c r="A221" s="8" t="str">
        <x:v>N121</x:v>
      </x:c>
      <x:c r="B221" s="8" t="str">
        <x:v>Электромонтаж и наружное освещение</x:v>
      </x:c>
      <x:c r="C221" s="8" t="str">
        <x:v>30</x:v>
      </x:c>
      <x:c r="D221" s="8" t="str">
        <x:v>Прибор измерения и защиты, количество подключаемых концов: до 6 - автомат выключатель</x:v>
      </x:c>
      <x:c r="E221" s="8" t="str">
        <x:v>шт</x:v>
      </x:c>
      <x:c r="F221" s="11" t="n">
        <x:v>3</x:v>
      </x:c>
      <x:c r="G221" s="12" t="n">
        <x:v>1</x:v>
      </x:c>
      <x:c r="H221" s="11" t="n">
        <x:f>F221*G221</x:f>
        <x:v>3</x:v>
      </x:c>
      <x:c r="I221" s="8" t="str">
        <x:v>Кандидаты</x:v>
      </x:c>
      <x:c r="J221" s="10" t="n">
        <x:v>1</x:v>
      </x:c>
      <x:c r="K221" s="10" t="n">
        <x:v>0</x:v>
      </x:c>
      <x:c r="L221" s="10" t="n">
        <x:v>1</x:v>
      </x:c>
      <x:c r="M221" s="8" t="str">
        <x:v>Работа с вложенными ресурсами</x:v>
      </x:c>
      <x:c r="N221" s="8" t="str">
        <x:v>8 - Видео - ЛСР.pdf</x:v>
      </x:c>
      <x:c r="O221" s="8" t="str">
        <x:v>шт</x:v>
      </x:c>
      <x:c r="P221" s="8" t="str">
        <x:v>Раздел 1.</x:v>
      </x:c>
    </x:row>
    <x:row r="222" ht="39" customHeight="1">
      <x:c r="A222" s="13" t="str"/>
      <x:c r="B222" s="13" t="str">
        <x:v>Расчётные и корректирующие строки</x:v>
      </x:c>
      <x:c r="C222" s="13" t="str">
        <x:v>30.1</x:v>
      </x:c>
      <x:c r="D222" s="13" t="str">
        <x:v>Вспомогательные ненормируемые материальные ресурсы</x:v>
      </x:c>
      <x:c r="E222" s="13" t="str">
        <x:v>%</x:v>
      </x:c>
      <x:c r="F222" s="15" t="n">
        <x:v>2</x:v>
      </x:c>
      <x:c r="G222" s="16" t="n">
        <x:v>1</x:v>
      </x:c>
      <x:c r="H222" s="15" t="n">
        <x:f>F222*G222</x:f>
        <x:v>2</x:v>
      </x:c>
      <x:c r="I222" s="13" t="str">
        <x:v>Не искать отдельно</x:v>
      </x:c>
      <x:c r="J222" s="14" t="n">
        <x:v>0</x:v>
      </x:c>
      <x:c r="K222" s="14" t="n">
        <x:v>0</x:v>
      </x:c>
      <x:c r="L222" s="14" t="n">
        <x:v>0</x:v>
      </x:c>
      <x:c r="M222" s="13" t="str">
        <x:v>Ресурс родительской работы</x:v>
      </x:c>
      <x:c r="N222" s="13" t="str">
        <x:v>8 - Видео - ЛСР.pdf</x:v>
      </x:c>
      <x:c r="O222" s="13" t="str">
        <x:v>%</x:v>
      </x:c>
      <x:c r="P222" s="13" t="str">
        <x:v>Раздел 1.</x:v>
      </x:c>
    </x:row>
    <x:row r="223" ht="39" customHeight="1">
      <x:c r="A223" s="8" t="str">
        <x:v>N117</x:v>
      </x:c>
      <x:c r="B223" s="8" t="str">
        <x:v>Электромонтаж и наружное освещение</x:v>
      </x:c>
      <x:c r="C223" s="8" t="str">
        <x:v>31</x:v>
      </x:c>
      <x:c r="D223" s="8" t="str">
        <x:v>Заземлитель горизонтальный из стали: полосовой сечением 160 мм2</x:v>
      </x:c>
      <x:c r="E223" s="8" t="str">
        <x:v>100 м</x:v>
      </x:c>
      <x:c r="F223" s="11" t="n">
        <x:v>0.33</x:v>
      </x:c>
      <x:c r="G223" s="12" t="n">
        <x:v>100</x:v>
      </x:c>
      <x:c r="H223" s="11" t="n">
        <x:f>F223*G223</x:f>
        <x:v>33</x:v>
      </x:c>
      <x:c r="I223" s="8" t="str">
        <x:v>Кандидаты</x:v>
      </x:c>
      <x:c r="J223" s="10" t="n">
        <x:v>1</x:v>
      </x:c>
      <x:c r="K223" s="10" t="n">
        <x:v>0</x:v>
      </x:c>
      <x:c r="L223" s="10" t="n">
        <x:v>1</x:v>
      </x:c>
      <x:c r="M223" s="8" t="str">
        <x:v>Работа с вложенными ресурсами</x:v>
      </x:c>
      <x:c r="N223" s="8" t="str">
        <x:v>8 - Видео - ЛСР.pdf</x:v>
      </x:c>
      <x:c r="O223" s="8" t="str">
        <x:v>м</x:v>
      </x:c>
      <x:c r="P223" s="8" t="str">
        <x:v>Раздел 1.</x:v>
      </x:c>
    </x:row>
    <x:row r="224" ht="39" customHeight="1">
      <x:c r="A224" s="13" t="str"/>
      <x:c r="B224" s="13" t="str">
        <x:v>Расчётные и корректирующие строки</x:v>
      </x:c>
      <x:c r="C224" s="13" t="str">
        <x:v>31.1</x:v>
      </x:c>
      <x:c r="D224" s="13" t="str">
        <x:v>Вспомогательные ненормируемые материальные ресурсы</x:v>
      </x:c>
      <x:c r="E224" s="13" t="str">
        <x:v>%</x:v>
      </x:c>
      <x:c r="F224" s="15" t="n">
        <x:v>2</x:v>
      </x:c>
      <x:c r="G224" s="16" t="n">
        <x:v>1</x:v>
      </x:c>
      <x:c r="H224" s="15" t="n">
        <x:f>F224*G224</x:f>
        <x:v>2</x:v>
      </x:c>
      <x:c r="I224" s="13" t="str">
        <x:v>Не искать отдельно</x:v>
      </x:c>
      <x:c r="J224" s="14" t="n">
        <x:v>0</x:v>
      </x:c>
      <x:c r="K224" s="14" t="n">
        <x:v>0</x:v>
      </x:c>
      <x:c r="L224" s="14" t="n">
        <x:v>0</x:v>
      </x:c>
      <x:c r="M224" s="13" t="str">
        <x:v>Ресурс родительской работы</x:v>
      </x:c>
      <x:c r="N224" s="13" t="str">
        <x:v>8 - Видео - ЛСР.pdf</x:v>
      </x:c>
      <x:c r="O224" s="13" t="str">
        <x:v>%</x:v>
      </x:c>
      <x:c r="P224" s="13" t="str">
        <x:v>Раздел 1.</x:v>
      </x:c>
    </x:row>
    <x:row r="225" ht="39" customHeight="1">
      <x:c r="A225" s="8" t="str">
        <x:v>N022</x:v>
      </x:c>
      <x:c r="B225" s="8" t="str">
        <x:v>Металлопрокат</x:v>
      </x:c>
      <x:c r="C225" s="8" t="str">
        <x:v>32</x:v>
      </x:c>
      <x:c r="D225" s="8" t="str">
        <x:v>Прокат стальной горячекатаный полосовой, марки стали Ст3сп, Ст3пс, размеры 40х4 мм</x:v>
      </x:c>
      <x:c r="E225" s="8" t="str">
        <x:v>т</x:v>
      </x:c>
      <x:c r="F225" s="11" t="n">
        <x:v>0.04145</x:v>
      </x:c>
      <x:c r="G225" s="12" t="n">
        <x:v>1</x:v>
      </x:c>
      <x:c r="H225" s="11" t="n">
        <x:f>F225*G225</x:f>
        <x:v>0.04145</x:v>
      </x:c>
      <x:c r="I225" s="8" t="str">
        <x:v>Кандидаты</x:v>
      </x:c>
      <x:c r="J225" s="10" t="n">
        <x:v>1</x:v>
      </x:c>
      <x:c r="K225" s="10" t="n">
        <x:v>0</x:v>
      </x:c>
      <x:c r="L225" s="10" t="n">
        <x:v>1</x:v>
      </x:c>
      <x:c r="M225" s="8" t="str">
        <x:v>Основная строка</x:v>
      </x:c>
      <x:c r="N225" s="8" t="str">
        <x:v>8 - Видео - ЛСР.pdf</x:v>
      </x:c>
      <x:c r="O225" s="8" t="str">
        <x:v>т</x:v>
      </x:c>
      <x:c r="P225" s="8" t="str">
        <x:v>Раздел 1.</x:v>
      </x:c>
    </x:row>
    <x:row r="226" ht="39" customHeight="1">
      <x:c r="A226" s="13" t="str">
        <x:v>N115</x:v>
      </x:c>
      <x:c r="B226" s="13" t="str">
        <x:v>Электромонтаж и наружное освещение</x:v>
      </x:c>
      <x:c r="C226" s="13" t="str">
        <x:v>33</x:v>
      </x:c>
      <x:c r="D226" s="13" t="str">
        <x:v>Заземлитель вертикальный из круглой стали диаметром: 16 мм</x:v>
      </x:c>
      <x:c r="E226" s="13" t="str">
        <x:v>10 шт</x:v>
      </x:c>
      <x:c r="F226" s="15" t="n">
        <x:v>0.9</x:v>
      </x:c>
      <x:c r="G226" s="16" t="n">
        <x:v>10</x:v>
      </x:c>
      <x:c r="H226" s="15" t="n">
        <x:f>F226*G226</x:f>
        <x:v>9</x:v>
      </x:c>
      <x:c r="I226" s="13" t="str">
        <x:v>Кандидаты</x:v>
      </x:c>
      <x:c r="J226" s="14" t="n">
        <x:v>1</x:v>
      </x:c>
      <x:c r="K226" s="14" t="n">
        <x:v>0</x:v>
      </x:c>
      <x:c r="L226" s="14" t="n">
        <x:v>1</x:v>
      </x:c>
      <x:c r="M226" s="13" t="str">
        <x:v>Работа с вложенными ресурсами</x:v>
      </x:c>
      <x:c r="N226" s="13" t="str">
        <x:v>8 - Видео - ЛСР.pdf</x:v>
      </x:c>
      <x:c r="O226" s="13" t="str">
        <x:v>шт</x:v>
      </x:c>
      <x:c r="P226" s="13" t="str">
        <x:v>Раздел 1.</x:v>
      </x:c>
    </x:row>
    <x:row r="227" ht="39" customHeight="1">
      <x:c r="A227" s="8" t="str"/>
      <x:c r="B227" s="8" t="str">
        <x:v>Расчётные и корректирующие строки</x:v>
      </x:c>
      <x:c r="C227" s="8" t="str">
        <x:v>33.1</x:v>
      </x:c>
      <x:c r="D227" s="8" t="str">
        <x:v>Вспомогательные ненормируемые материальные ресурсы</x:v>
      </x:c>
      <x:c r="E227" s="8" t="str">
        <x:v>%</x:v>
      </x:c>
      <x:c r="F227" s="11" t="n">
        <x:v>2</x:v>
      </x:c>
      <x:c r="G227" s="12" t="n">
        <x:v>1</x:v>
      </x:c>
      <x:c r="H227" s="11" t="n">
        <x:f>F227*G227</x:f>
        <x:v>2</x:v>
      </x:c>
      <x:c r="I227" s="8" t="str">
        <x:v>Не искать отдельно</x:v>
      </x:c>
      <x:c r="J227" s="10" t="n">
        <x:v>0</x:v>
      </x:c>
      <x:c r="K227" s="10" t="n">
        <x:v>0</x:v>
      </x:c>
      <x:c r="L227" s="10" t="n">
        <x:v>0</x:v>
      </x:c>
      <x:c r="M227" s="8" t="str">
        <x:v>Ресурс родительской работы</x:v>
      </x:c>
      <x:c r="N227" s="8" t="str">
        <x:v>8 - Видео - ЛСР.pdf</x:v>
      </x:c>
      <x:c r="O227" s="8" t="str">
        <x:v>%</x:v>
      </x:c>
      <x:c r="P227" s="8" t="str">
        <x:v>Раздел 1.</x:v>
      </x:c>
    </x:row>
    <x:row r="228" ht="39" customHeight="1">
      <x:c r="A228" s="13" t="str">
        <x:v>N021</x:v>
      </x:c>
      <x:c r="B228" s="13" t="str">
        <x:v>Металлопрокат</x:v>
      </x:c>
      <x:c r="C228" s="13" t="str">
        <x:v>34</x:v>
      </x:c>
      <x:c r="D228" s="13" t="str">
        <x:v>Прокат стальной горячекатаный круглый, марки стали Ст3сп, Ст3пс, диаметр 14-50 мм</x:v>
      </x:c>
      <x:c r="E228" s="13" t="str">
        <x:v>т</x:v>
      </x:c>
      <x:c r="F228" s="15" t="n">
        <x:v>0.0427</x:v>
      </x:c>
      <x:c r="G228" s="16" t="n">
        <x:v>1</x:v>
      </x:c>
      <x:c r="H228" s="15" t="n">
        <x:f>F228*G228</x:f>
        <x:v>0.0427</x:v>
      </x:c>
      <x:c r="I228" s="13" t="str">
        <x:v>Цена не найдена</x:v>
      </x:c>
      <x:c r="J228" s="14" t="n">
        <x:v>1</x:v>
      </x:c>
      <x:c r="K228" s="14" t="n">
        <x:v>0</x:v>
      </x:c>
      <x:c r="L228" s="14" t="n">
        <x:v>1</x:v>
      </x:c>
      <x:c r="M228" s="13" t="str">
        <x:v>Основная строка</x:v>
      </x:c>
      <x:c r="N228" s="13" t="str">
        <x:v>8 - Видео - ЛСР.pdf</x:v>
      </x:c>
      <x:c r="O228" s="13" t="str">
        <x:v>т</x:v>
      </x:c>
      <x:c r="P228" s="13" t="str">
        <x:v>Раздел 1.</x:v>
      </x:c>
    </x:row>
    <x:row r="229" ht="39" customHeight="1">
      <x:c r="A229" s="8" t="str">
        <x:v>N083</x:v>
      </x:c>
      <x:c r="B229" s="8" t="str">
        <x:v>Видеонаблюдение и сетевое оборудование</x:v>
      </x:c>
      <x:c r="C229" s="8" t="str">
        <x:v>35</x:v>
      </x:c>
      <x:c r="D229" s="8" t="str">
        <x:v>Телекоммуникационный настенный шкаф ЦМО 19, 12U, дверь: металл, разборный, серый ШРН-Э-12.650.1</x:v>
      </x:c>
      <x:c r="E229" s="8" t="str">
        <x:v>шт</x:v>
      </x:c>
      <x:c r="F229" s="11" t="n">
        <x:v>1</x:v>
      </x:c>
      <x:c r="G229" s="12" t="n">
        <x:v>1</x:v>
      </x:c>
      <x:c r="H229" s="11" t="n">
        <x:f>F229*G229</x:f>
        <x:v>1</x:v>
      </x:c>
      <x:c r="I229" s="8" t="str">
        <x:v>Цена есть</x:v>
      </x:c>
      <x:c r="J229" s="10" t="n">
        <x:v>0</x:v>
      </x:c>
      <x:c r="K229" s="10" t="n">
        <x:v>1</x:v>
      </x:c>
      <x:c r="L229" s="10" t="n">
        <x:v>1</x:v>
      </x:c>
      <x:c r="M229" s="8" t="str">
        <x:v>Основная строка</x:v>
      </x:c>
      <x:c r="N229" s="8" t="str">
        <x:v>8 - Видео - ЛСР.pdf</x:v>
      </x:c>
      <x:c r="O229" s="8" t="str">
        <x:v>шт</x:v>
      </x:c>
      <x:c r="P229" s="8" t="str">
        <x:v>Раздел 2. Материалы и оборудование</x:v>
      </x:c>
    </x:row>
    <x:row r="230" ht="39" customHeight="1">
      <x:c r="A230" s="13" t="str">
        <x:v>N069</x:v>
      </x:c>
      <x:c r="B230" s="13" t="str">
        <x:v>Видеонаблюдение и сетевое оборудование</x:v>
      </x:c>
      <x:c r="C230" s="13" t="str">
        <x:v>36</x:v>
      </x:c>
      <x:c r="D230" s="13" t="str">
        <x:v>Источник бесперебойного питания DL-SVC-TRX11-1KL-LCD/CS09C1</x:v>
      </x:c>
      <x:c r="E230" s="13" t="str">
        <x:v>шт</x:v>
      </x:c>
      <x:c r="F230" s="15" t="n">
        <x:v>1</x:v>
      </x:c>
      <x:c r="G230" s="16" t="n">
        <x:v>1</x:v>
      </x:c>
      <x:c r="H230" s="15" t="n">
        <x:f>F230*G230</x:f>
        <x:v>1</x:v>
      </x:c>
      <x:c r="I230" s="13" t="str">
        <x:v>Кандидаты</x:v>
      </x:c>
      <x:c r="J230" s="14" t="n">
        <x:v>1</x:v>
      </x:c>
      <x:c r="K230" s="14" t="n">
        <x:v>0</x:v>
      </x:c>
      <x:c r="L230" s="14" t="n">
        <x:v>1</x:v>
      </x:c>
      <x:c r="M230" s="13" t="str">
        <x:v>Основная строка</x:v>
      </x:c>
      <x:c r="N230" s="13" t="str">
        <x:v>8 - Видео - ЛСР.pdf</x:v>
      </x:c>
      <x:c r="O230" s="13" t="str">
        <x:v>шт</x:v>
      </x:c>
      <x:c r="P230" s="13" t="str">
        <x:v>Раздел 2. Материалы и оборудование</x:v>
      </x:c>
    </x:row>
    <x:row r="231" ht="39" customHeight="1">
      <x:c r="A231" s="8" t="str">
        <x:v>N072</x:v>
      </x:c>
      <x:c r="B231" s="8" t="str">
        <x:v>Видеонаблюдение и сетевое оборудование</x:v>
      </x:c>
      <x:c r="C231" s="8" t="str">
        <x:v>37</x:v>
      </x:c>
      <x:c r="D231" s="8" t="str">
        <x:v>Коммутатор Dahua DH-CS4220-16GT-190, управляемый</x:v>
      </x:c>
      <x:c r="E231" s="8" t="str">
        <x:v>шт</x:v>
      </x:c>
      <x:c r="F231" s="11" t="n">
        <x:v>1</x:v>
      </x:c>
      <x:c r="G231" s="12" t="n">
        <x:v>1</x:v>
      </x:c>
      <x:c r="H231" s="11" t="n">
        <x:f>F231*G231</x:f>
        <x:v>1</x:v>
      </x:c>
      <x:c r="I231" s="8" t="str">
        <x:v>Кандидаты</x:v>
      </x:c>
      <x:c r="J231" s="10" t="n">
        <x:v>1</x:v>
      </x:c>
      <x:c r="K231" s="10" t="n">
        <x:v>0</x:v>
      </x:c>
      <x:c r="L231" s="10" t="n">
        <x:v>1</x:v>
      </x:c>
      <x:c r="M231" s="8" t="str">
        <x:v>Основная строка</x:v>
      </x:c>
      <x:c r="N231" s="8" t="str">
        <x:v>8 - Видео - ЛСР.pdf</x:v>
      </x:c>
      <x:c r="O231" s="8" t="str">
        <x:v>шт</x:v>
      </x:c>
      <x:c r="P231" s="8" t="str">
        <x:v>Раздел 2. Материалы и оборудование</x:v>
      </x:c>
    </x:row>
    <x:row r="232" ht="39" customHeight="1">
      <x:c r="A232" s="13" t="str">
        <x:v>N075</x:v>
      </x:c>
      <x:c r="B232" s="13" t="str">
        <x:v>Видеонаблюдение и сетевое оборудование</x:v>
      </x:c>
      <x:c r="C232" s="13" t="str">
        <x:v>38</x:v>
      </x:c>
      <x:c r="D232" s="13" t="str">
        <x:v>Оптический бокс (кросс) БОН-19-1-24-В</x:v>
      </x:c>
      <x:c r="E232" s="13" t="str">
        <x:v>шт</x:v>
      </x:c>
      <x:c r="F232" s="15" t="n">
        <x:v>1</x:v>
      </x:c>
      <x:c r="G232" s="16" t="n">
        <x:v>1</x:v>
      </x:c>
      <x:c r="H232" s="15" t="n">
        <x:f>F232*G232</x:f>
        <x:v>1</x:v>
      </x:c>
      <x:c r="I232" s="13" t="str">
        <x:v>Кандидаты</x:v>
      </x:c>
      <x:c r="J232" s="14" t="n">
        <x:v>1</x:v>
      </x:c>
      <x:c r="K232" s="14" t="n">
        <x:v>0</x:v>
      </x:c>
      <x:c r="L232" s="14" t="n">
        <x:v>1</x:v>
      </x:c>
      <x:c r="M232" s="13" t="str">
        <x:v>Основная строка</x:v>
      </x:c>
      <x:c r="N232" s="13" t="str">
        <x:v>8 - Видео - ЛСР.pdf</x:v>
      </x:c>
      <x:c r="O232" s="13" t="str">
        <x:v>шт</x:v>
      </x:c>
      <x:c r="P232" s="13" t="str">
        <x:v>Раздел 2. Материалы и оборудование</x:v>
      </x:c>
    </x:row>
    <x:row r="233" ht="39" customHeight="1">
      <x:c r="A233" s="8" t="str">
        <x:v>N082</x:v>
      </x:c>
      <x:c r="B233" s="8" t="str">
        <x:v>Видеонаблюдение и сетевое оборудование</x:v>
      </x:c>
      <x:c r="C233" s="8" t="str">
        <x:v>39</x:v>
      </x:c>
      <x:c r="D233" s="8" t="str">
        <x:v>Панель с DIN-рейкой КП-АВ-9005</x:v>
      </x:c>
      <x:c r="E233" s="8" t="str">
        <x:v>шт</x:v>
      </x:c>
      <x:c r="F233" s="11" t="n">
        <x:v>1</x:v>
      </x:c>
      <x:c r="G233" s="12" t="n">
        <x:v>1</x:v>
      </x:c>
      <x:c r="H233" s="11" t="n">
        <x:f>F233*G233</x:f>
        <x:v>1</x:v>
      </x:c>
      <x:c r="I233" s="8" t="str">
        <x:v>Цена есть</x:v>
      </x:c>
      <x:c r="J233" s="10" t="n">
        <x:v>0</x:v>
      </x:c>
      <x:c r="K233" s="10" t="n">
        <x:v>1</x:v>
      </x:c>
      <x:c r="L233" s="10" t="n">
        <x:v>1</x:v>
      </x:c>
      <x:c r="M233" s="8" t="str">
        <x:v>Основная строка</x:v>
      </x:c>
      <x:c r="N233" s="8" t="str">
        <x:v>8 - Видео - ЛСР.pdf</x:v>
      </x:c>
      <x:c r="O233" s="8" t="str">
        <x:v>шт</x:v>
      </x:c>
      <x:c r="P233" s="8" t="str">
        <x:v>Раздел 2. Материалы и оборудование</x:v>
      </x:c>
    </x:row>
    <x:row r="234" ht="39" customHeight="1">
      <x:c r="A234" s="13" t="str">
        <x:v>N076</x:v>
      </x:c>
      <x:c r="B234" s="13" t="str">
        <x:v>Видеонаблюдение и сетевое оборудование</x:v>
      </x:c>
      <x:c r="C234" s="13" t="str">
        <x:v>40</x:v>
      </x:c>
      <x:c r="D234" s="13" t="str">
        <x:v>Сетевой видеорегистратор TRASSIR DuoStation 3432R AF</x:v>
      </x:c>
      <x:c r="E234" s="13" t="str">
        <x:v>шт</x:v>
      </x:c>
      <x:c r="F234" s="15" t="n">
        <x:v>1</x:v>
      </x:c>
      <x:c r="G234" s="16" t="n">
        <x:v>1</x:v>
      </x:c>
      <x:c r="H234" s="15" t="n">
        <x:f>F234*G234</x:f>
        <x:v>1</x:v>
      </x:c>
      <x:c r="I234" s="13" t="str">
        <x:v>Кандидаты</x:v>
      </x:c>
      <x:c r="J234" s="14" t="n">
        <x:v>1</x:v>
      </x:c>
      <x:c r="K234" s="14" t="n">
        <x:v>0</x:v>
      </x:c>
      <x:c r="L234" s="14" t="n">
        <x:v>1</x:v>
      </x:c>
      <x:c r="M234" s="13" t="str">
        <x:v>Основная строка</x:v>
      </x:c>
      <x:c r="N234" s="13" t="str">
        <x:v>8 - Видео - ЛСР.pdf</x:v>
      </x:c>
      <x:c r="O234" s="13" t="str">
        <x:v>шт</x:v>
      </x:c>
      <x:c r="P234" s="13" t="str">
        <x:v>Раздел 2. Материалы и оборудование</x:v>
      </x:c>
    </x:row>
    <x:row r="235" ht="39" customHeight="1">
      <x:c r="A235" s="8" t="str">
        <x:v>N078</x:v>
      </x:c>
      <x:c r="B235" s="8" t="str">
        <x:v>Видеонаблюдение и сетевое оборудование</x:v>
      </x:c>
      <x:c r="C235" s="8" t="str">
        <x:v>41</x:v>
      </x:c>
      <x:c r="D235" s="8" t="str">
        <x:v>Жесткий диск HDD 8000 GB (8 TB) SATA-III Purple (WD85PURZ)</x:v>
      </x:c>
      <x:c r="E235" s="8" t="str">
        <x:v>шт</x:v>
      </x:c>
      <x:c r="F235" s="11" t="n">
        <x:v>4</x:v>
      </x:c>
      <x:c r="G235" s="12" t="n">
        <x:v>1</x:v>
      </x:c>
      <x:c r="H235" s="11" t="n">
        <x:f>F235*G235</x:f>
        <x:v>4</x:v>
      </x:c>
      <x:c r="I235" s="8" t="str">
        <x:v>Цена есть</x:v>
      </x:c>
      <x:c r="J235" s="10" t="n">
        <x:v>0</x:v>
      </x:c>
      <x:c r="K235" s="10" t="n">
        <x:v>1</x:v>
      </x:c>
      <x:c r="L235" s="10" t="n">
        <x:v>1</x:v>
      </x:c>
      <x:c r="M235" s="8" t="str">
        <x:v>Основная строка</x:v>
      </x:c>
      <x:c r="N235" s="8" t="str">
        <x:v>8 - Видео - ЛСР.pdf</x:v>
      </x:c>
      <x:c r="O235" s="8" t="str">
        <x:v>шт</x:v>
      </x:c>
      <x:c r="P235" s="8" t="str">
        <x:v>Раздел 2. Материалы и оборудование</x:v>
      </x:c>
    </x:row>
    <x:row r="236" ht="39" customHeight="1">
      <x:c r="A236" s="13" t="str">
        <x:v>N080</x:v>
      </x:c>
      <x:c r="B236" s="13" t="str">
        <x:v>Видеонаблюдение и сетевое оборудование</x:v>
      </x:c>
      <x:c r="C236" s="13" t="str">
        <x:v>42</x:v>
      </x:c>
      <x:c r="D236" s="13" t="str">
        <x:v>Коммутатор TFortis SWU-16T</x:v>
      </x:c>
      <x:c r="E236" s="13" t="str">
        <x:v>шт</x:v>
      </x:c>
      <x:c r="F236" s="15" t="n">
        <x:v>1</x:v>
      </x:c>
      <x:c r="G236" s="16" t="n">
        <x:v>1</x:v>
      </x:c>
      <x:c r="H236" s="15" t="n">
        <x:f>F236*G236</x:f>
        <x:v>1</x:v>
      </x:c>
      <x:c r="I236" s="13" t="str">
        <x:v>Цена есть</x:v>
      </x:c>
      <x:c r="J236" s="14" t="n">
        <x:v>0</x:v>
      </x:c>
      <x:c r="K236" s="14" t="n">
        <x:v>1</x:v>
      </x:c>
      <x:c r="L236" s="14" t="n">
        <x:v>1</x:v>
      </x:c>
      <x:c r="M236" s="13" t="str">
        <x:v>Основная строка</x:v>
      </x:c>
      <x:c r="N236" s="13" t="str">
        <x:v>8 - Видео - ЛСР.pdf</x:v>
      </x:c>
      <x:c r="O236" s="13" t="str">
        <x:v>шт</x:v>
      </x:c>
      <x:c r="P236" s="13" t="str">
        <x:v>Раздел 2. Материалы и оборудование</x:v>
      </x:c>
    </x:row>
    <x:row r="237" ht="39" customHeight="1">
      <x:c r="A237" s="8" t="str">
        <x:v>N079</x:v>
      </x:c>
      <x:c r="B237" s="8" t="str">
        <x:v>Видеонаблюдение и сетевое оборудование</x:v>
      </x:c>
      <x:c r="C237" s="8" t="str">
        <x:v>43</x:v>
      </x:c>
      <x:c r="D237" s="8" t="str">
        <x:v>Коммутатор TFortis PSW-2G8F+</x:v>
      </x:c>
      <x:c r="E237" s="8" t="str">
        <x:v>шт</x:v>
      </x:c>
      <x:c r="F237" s="11" t="n">
        <x:v>4</x:v>
      </x:c>
      <x:c r="G237" s="12" t="n">
        <x:v>1</x:v>
      </x:c>
      <x:c r="H237" s="11" t="n">
        <x:f>F237*G237</x:f>
        <x:v>4</x:v>
      </x:c>
      <x:c r="I237" s="8" t="str">
        <x:v>Цена есть</x:v>
      </x:c>
      <x:c r="J237" s="10" t="n">
        <x:v>0</x:v>
      </x:c>
      <x:c r="K237" s="10" t="n">
        <x:v>1</x:v>
      </x:c>
      <x:c r="L237" s="10" t="n">
        <x:v>1</x:v>
      </x:c>
      <x:c r="M237" s="8" t="str">
        <x:v>Основная строка</x:v>
      </x:c>
      <x:c r="N237" s="8" t="str">
        <x:v>8 - Видео - ЛСР.pdf</x:v>
      </x:c>
      <x:c r="O237" s="8" t="str">
        <x:v>шт</x:v>
      </x:c>
      <x:c r="P237" s="8" t="str">
        <x:v>Раздел 2. Материалы и оборудование</x:v>
      </x:c>
    </x:row>
    <x:row r="238" ht="39" customHeight="1">
      <x:c r="A238" s="13" t="str">
        <x:v>N073</x:v>
      </x:c>
      <x:c r="B238" s="13" t="str">
        <x:v>Видеонаблюдение и сетевое оборудование</x:v>
      </x:c>
      <x:c r="C238" s="13" t="str">
        <x:v>44</x:v>
      </x:c>
      <x:c r="D238" s="13" t="str">
        <x:v>Коммутатор Tfortis SFP (TBSF-13-3-12gSC-3i 1310+TBSF-15-3-12gSC-3i 1550)</x:v>
      </x:c>
      <x:c r="E238" s="13" t="str">
        <x:v>шт</x:v>
      </x:c>
      <x:c r="F238" s="15" t="n">
        <x:v>6</x:v>
      </x:c>
      <x:c r="G238" s="16" t="n">
        <x:v>1</x:v>
      </x:c>
      <x:c r="H238" s="15" t="n">
        <x:f>F238*G238</x:f>
        <x:v>6</x:v>
      </x:c>
      <x:c r="I238" s="13" t="str">
        <x:v>Кандидаты</x:v>
      </x:c>
      <x:c r="J238" s="14" t="n">
        <x:v>1</x:v>
      </x:c>
      <x:c r="K238" s="14" t="n">
        <x:v>0</x:v>
      </x:c>
      <x:c r="L238" s="14" t="n">
        <x:v>1</x:v>
      </x:c>
      <x:c r="M238" s="13" t="str">
        <x:v>Основная строка</x:v>
      </x:c>
      <x:c r="N238" s="13" t="str">
        <x:v>8 - Видео - ЛСР.pdf</x:v>
      </x:c>
      <x:c r="O238" s="13" t="str">
        <x:v>шт</x:v>
      </x:c>
      <x:c r="P238" s="13" t="str">
        <x:v>Раздел 2. Материалы и оборудование</x:v>
      </x:c>
    </x:row>
    <x:row r="239" ht="39" customHeight="1">
      <x:c r="A239" s="8" t="str">
        <x:v>N077</x:v>
      </x:c>
      <x:c r="B239" s="8" t="str">
        <x:v>Видеонаблюдение и сетевое оборудование</x:v>
      </x:c>
      <x:c r="C239" s="8" t="str">
        <x:v>45</x:v>
      </x:c>
      <x:c r="D239" s="8" t="str">
        <x:v>IP-камера Dahua DH-IPC-HDBW3441FP-AS-0280B-S2</x:v>
      </x:c>
      <x:c r="E239" s="8" t="str">
        <x:v>шт</x:v>
      </x:c>
      <x:c r="F239" s="11" t="n">
        <x:v>28</x:v>
      </x:c>
      <x:c r="G239" s="12" t="n">
        <x:v>1</x:v>
      </x:c>
      <x:c r="H239" s="11" t="n">
        <x:f>F239*G239</x:f>
        <x:v>28</x:v>
      </x:c>
      <x:c r="I239" s="8" t="str">
        <x:v>Цена есть</x:v>
      </x:c>
      <x:c r="J239" s="10" t="n">
        <x:v>0</x:v>
      </x:c>
      <x:c r="K239" s="10" t="n">
        <x:v>1</x:v>
      </x:c>
      <x:c r="L239" s="10" t="n">
        <x:v>1</x:v>
      </x:c>
      <x:c r="M239" s="8" t="str">
        <x:v>Основная строка</x:v>
      </x:c>
      <x:c r="N239" s="8" t="str">
        <x:v>8 - Видео - ЛСР.pdf</x:v>
      </x:c>
      <x:c r="O239" s="8" t="str">
        <x:v>шт</x:v>
      </x:c>
      <x:c r="P239" s="8" t="str">
        <x:v>Раздел 2. Материалы и оборудование</x:v>
      </x:c>
    </x:row>
    <x:row r="240" ht="39" customHeight="1">
      <x:c r="A240" s="13" t="str">
        <x:v>N074</x:v>
      </x:c>
      <x:c r="B240" s="13" t="str">
        <x:v>Видеонаблюдение и сетевое оборудование</x:v>
      </x:c>
      <x:c r="C240" s="13" t="str">
        <x:v>46</x:v>
      </x:c>
      <x:c r="D240" s="13" t="str">
        <x:v>Коннектор 10-0209</x:v>
      </x:c>
      <x:c r="E240" s="13" t="str">
        <x:v>упак</x:v>
      </x:c>
      <x:c r="F240" s="15" t="n">
        <x:v>0.56</x:v>
      </x:c>
      <x:c r="G240" s="16" t="n">
        <x:v>1</x:v>
      </x:c>
      <x:c r="H240" s="15" t="n">
        <x:f>F240*G240</x:f>
        <x:v>0.56</x:v>
      </x:c>
      <x:c r="I240" s="13" t="str">
        <x:v>Кандидаты</x:v>
      </x:c>
      <x:c r="J240" s="14" t="n">
        <x:v>1</x:v>
      </x:c>
      <x:c r="K240" s="14" t="n">
        <x:v>0</x:v>
      </x:c>
      <x:c r="L240" s="14" t="n">
        <x:v>1</x:v>
      </x:c>
      <x:c r="M240" s="13" t="str">
        <x:v>Основная строка</x:v>
      </x:c>
      <x:c r="N240" s="13" t="str">
        <x:v>8 - Видео - ЛСР.pdf</x:v>
      </x:c>
      <x:c r="O240" s="13" t="str">
        <x:v>упак</x:v>
      </x:c>
      <x:c r="P240" s="13" t="str">
        <x:v>Раздел 2. Материалы и оборудование</x:v>
      </x:c>
    </x:row>
    <x:row r="241" ht="39" customHeight="1">
      <x:c r="A241" s="8" t="str">
        <x:v>N081</x:v>
      </x:c>
      <x:c r="B241" s="8" t="str">
        <x:v>Видеонаблюдение и сетевое оборудование</x:v>
      </x:c>
      <x:c r="C241" s="8" t="str">
        <x:v>47</x:v>
      </x:c>
      <x:c r="D241" s="8" t="str">
        <x:v>Монтажная коробка Dahua DH-PFA136</x:v>
      </x:c>
      <x:c r="E241" s="8" t="str">
        <x:v>шт</x:v>
      </x:c>
      <x:c r="F241" s="11" t="n">
        <x:v>28</x:v>
      </x:c>
      <x:c r="G241" s="12" t="n">
        <x:v>1</x:v>
      </x:c>
      <x:c r="H241" s="11" t="n">
        <x:f>F241*G241</x:f>
        <x:v>28</x:v>
      </x:c>
      <x:c r="I241" s="8" t="str">
        <x:v>Цена есть</x:v>
      </x:c>
      <x:c r="J241" s="10" t="n">
        <x:v>0</x:v>
      </x:c>
      <x:c r="K241" s="10" t="n">
        <x:v>1</x:v>
      </x:c>
      <x:c r="L241" s="10" t="n">
        <x:v>1</x:v>
      </x:c>
      <x:c r="M241" s="8" t="str">
        <x:v>Основная строка</x:v>
      </x:c>
      <x:c r="N241" s="8" t="str">
        <x:v>8 - Видео - ЛСР.pdf</x:v>
      </x:c>
      <x:c r="O241" s="8" t="str">
        <x:v>шт</x:v>
      </x:c>
      <x:c r="P241" s="8" t="str">
        <x:v>Раздел 2. Материалы и оборудование</x:v>
      </x:c>
    </x:row>
    <x:row r="242" ht="39" customHeight="1">
      <x:c r="A242" s="13" t="str">
        <x:v>N071</x:v>
      </x:c>
      <x:c r="B242" s="13" t="str">
        <x:v>Видеонаблюдение и сетевое оборудование</x:v>
      </x:c>
      <x:c r="C242" s="13" t="str">
        <x:v>48</x:v>
      </x:c>
      <x:c r="D242" s="13" t="str">
        <x:v>Карта памяти microSDXC UHS-I U3 Digma 256 ГБ, 90 МБ/с, Class 10, CARD30, 1 шт., переходник SD [dgfca256a03]</x:v>
      </x:c>
      <x:c r="E242" s="13" t="str">
        <x:v>шт</x:v>
      </x:c>
      <x:c r="F242" s="15" t="n">
        <x:v>28</x:v>
      </x:c>
      <x:c r="G242" s="16" t="n">
        <x:v>1</x:v>
      </x:c>
      <x:c r="H242" s="15" t="n">
        <x:f>F242*G242</x:f>
        <x:v>28</x:v>
      </x:c>
      <x:c r="I242" s="13" t="str">
        <x:v>Кандидаты</x:v>
      </x:c>
      <x:c r="J242" s="14" t="n">
        <x:v>1</x:v>
      </x:c>
      <x:c r="K242" s="14" t="n">
        <x:v>0</x:v>
      </x:c>
      <x:c r="L242" s="14" t="n">
        <x:v>1</x:v>
      </x:c>
      <x:c r="M242" s="13" t="str">
        <x:v>Основная строка</x:v>
      </x:c>
      <x:c r="N242" s="13" t="str">
        <x:v>8 - Видео - ЛСР.pdf</x:v>
      </x:c>
      <x:c r="O242" s="13" t="str">
        <x:v>шт</x:v>
      </x:c>
      <x:c r="P242" s="13" t="str">
        <x:v>Раздел 2. Материалы и оборудование</x:v>
      </x:c>
    </x:row>
    <x:row r="243" ht="39" customHeight="1">
      <x:c r="A243" s="8" t="str">
        <x:v>N026</x:v>
      </x:c>
      <x:c r="B243" s="8" t="str">
        <x:v>Кабели и трубы</x:v>
      </x:c>
      <x:c r="C243" s="8" t="str">
        <x:v>49</x:v>
      </x:c>
      <x:c r="D243" s="8" t="str">
        <x:v>Кабель витая пара F/UTP 4х2х0,51, категория 5e</x:v>
      </x:c>
      <x:c r="E243" s="8" t="str">
        <x:v>1000 м</x:v>
      </x:c>
      <x:c r="F243" s="11" t="n">
        <x:v>1.35252</x:v>
      </x:c>
      <x:c r="G243" s="12" t="n">
        <x:v>1000</x:v>
      </x:c>
      <x:c r="H243" s="11" t="n">
        <x:f>F243*G243</x:f>
        <x:v>1352.52</x:v>
      </x:c>
      <x:c r="I243" s="8" t="str">
        <x:v>Кандидаты</x:v>
      </x:c>
      <x:c r="J243" s="10" t="n">
        <x:v>1</x:v>
      </x:c>
      <x:c r="K243" s="10" t="n">
        <x:v>0</x:v>
      </x:c>
      <x:c r="L243" s="10" t="n">
        <x:v>1</x:v>
      </x:c>
      <x:c r="M243" s="8" t="str">
        <x:v>Основная строка</x:v>
      </x:c>
      <x:c r="N243" s="8" t="str">
        <x:v>8 - Видео - ЛСР.pdf</x:v>
      </x:c>
      <x:c r="O243" s="8" t="str">
        <x:v>м</x:v>
      </x:c>
      <x:c r="P243" s="8" t="str">
        <x:v>Раздел 2. Материалы и оборудование</x:v>
      </x:c>
    </x:row>
    <x:row r="244" ht="39" customHeight="1">
      <x:c r="A244" s="13" t="str">
        <x:v>N030</x:v>
      </x:c>
      <x:c r="B244" s="13" t="str">
        <x:v>Кабели и трубы</x:v>
      </x:c>
      <x:c r="C244" s="13" t="str">
        <x:v>50</x:v>
      </x:c>
      <x:c r="D244" s="13" t="str">
        <x:v>Труба EKF гладкая, жесткая, ПНД, черная, ⌀25 мм, 100м, tpndg-25</x:v>
      </x:c>
      <x:c r="E244" s="13" t="str">
        <x:v>м</x:v>
      </x:c>
      <x:c r="F244" s="15" t="n">
        <x:v>1158</x:v>
      </x:c>
      <x:c r="G244" s="16" t="n">
        <x:v>1</x:v>
      </x:c>
      <x:c r="H244" s="15" t="n">
        <x:f>F244*G244</x:f>
        <x:v>1158</x:v>
      </x:c>
      <x:c r="I244" s="13" t="str">
        <x:v>Кандидаты</x:v>
      </x:c>
      <x:c r="J244" s="14" t="n">
        <x:v>1</x:v>
      </x:c>
      <x:c r="K244" s="14" t="n">
        <x:v>0</x:v>
      </x:c>
      <x:c r="L244" s="14" t="n">
        <x:v>1</x:v>
      </x:c>
      <x:c r="M244" s="13" t="str">
        <x:v>Основная строка</x:v>
      </x:c>
      <x:c r="N244" s="13" t="str">
        <x:v>8 - Видео - ЛСР.pdf</x:v>
      </x:c>
      <x:c r="O244" s="13" t="str">
        <x:v>м</x:v>
      </x:c>
      <x:c r="P244" s="13" t="str">
        <x:v>Раздел 2. Материалы и оборудование</x:v>
      </x:c>
    </x:row>
    <x:row r="245" ht="39" customHeight="1">
      <x:c r="A245" s="8" t="str">
        <x:v>N035</x:v>
      </x:c>
      <x:c r="B245" s="8" t="str">
        <x:v>Кабели и трубы</x:v>
      </x:c>
      <x:c r="C245" s="8" t="str">
        <x:v>51</x:v>
      </x:c>
      <x:c r="D245" s="8" t="str">
        <x:v>Кабель силовой с алюминиевыми жилами АВБШв 5х16ок(N, PE)-660</x:v>
      </x:c>
      <x:c r="E245" s="8" t="str">
        <x:v>1000 м</x:v>
      </x:c>
      <x:c r="F245" s="11" t="n">
        <x:v>0.50082</x:v>
      </x:c>
      <x:c r="G245" s="12" t="n">
        <x:v>1000</x:v>
      </x:c>
      <x:c r="H245" s="11" t="n">
        <x:f>F245*G245</x:f>
        <x:v>500.82000000000005</x:v>
      </x:c>
      <x:c r="I245" s="8" t="str">
        <x:v>Цена есть</x:v>
      </x:c>
      <x:c r="J245" s="10" t="n">
        <x:v>0</x:v>
      </x:c>
      <x:c r="K245" s="10" t="n">
        <x:v>1</x:v>
      </x:c>
      <x:c r="L245" s="10" t="n">
        <x:v>1</x:v>
      </x:c>
      <x:c r="M245" s="8" t="str">
        <x:v>Основная строка</x:v>
      </x:c>
      <x:c r="N245" s="8" t="str">
        <x:v>8 - Видео - ЛСР.pdf</x:v>
      </x:c>
      <x:c r="O245" s="8" t="str">
        <x:v>м</x:v>
      </x:c>
      <x:c r="P245" s="8" t="str">
        <x:v>Раздел 2. Материалы и оборудование</x:v>
      </x:c>
    </x:row>
    <x:row r="246" ht="39" customHeight="1">
      <x:c r="A246" s="13" t="str">
        <x:v>N032</x:v>
      </x:c>
      <x:c r="B246" s="13" t="str">
        <x:v>Кабели и трубы</x:v>
      </x:c>
      <x:c r="C246" s="13" t="str">
        <x:v>52</x:v>
      </x:c>
      <x:c r="D246" s="13" t="str">
        <x:v>Гладкая жесткая труба EKF ПНД, черная ⌀50 мм 100 м PROxima tpndg-50</x:v>
      </x:c>
      <x:c r="E246" s="13" t="str">
        <x:v>м</x:v>
      </x:c>
      <x:c r="F246" s="15" t="n">
        <x:v>479</x:v>
      </x:c>
      <x:c r="G246" s="16" t="n">
        <x:v>1</x:v>
      </x:c>
      <x:c r="H246" s="15" t="n">
        <x:f>F246*G246</x:f>
        <x:v>479</x:v>
      </x:c>
      <x:c r="I246" s="13" t="str">
        <x:v>Цена есть</x:v>
      </x:c>
      <x:c r="J246" s="14" t="n">
        <x:v>0</x:v>
      </x:c>
      <x:c r="K246" s="14" t="n">
        <x:v>1</x:v>
      </x:c>
      <x:c r="L246" s="14" t="n">
        <x:v>1</x:v>
      </x:c>
      <x:c r="M246" s="13" t="str">
        <x:v>Основная строка</x:v>
      </x:c>
      <x:c r="N246" s="13" t="str">
        <x:v>8 - Видео - ЛСР.pdf</x:v>
      </x:c>
      <x:c r="O246" s="13" t="str">
        <x:v>м</x:v>
      </x:c>
      <x:c r="P246" s="13" t="str">
        <x:v>Раздел 2. Материалы и оборудование</x:v>
      </x:c>
    </x:row>
    <x:row r="247" ht="39" customHeight="1">
      <x:c r="A247" s="8" t="str">
        <x:v>N042</x:v>
      </x:c>
      <x:c r="B247" s="8" t="str">
        <x:v>Щиты и электротехнические изделия</x:v>
      </x:c>
      <x:c r="C247" s="8" t="str">
        <x:v>53</x:v>
      </x:c>
      <x:c r="D247" s="8" t="str">
        <x:v>Муфта кабельная концевая 5ПКТп-1-16/25</x:v>
      </x:c>
      <x:c r="E247" s="8" t="str">
        <x:v>шт</x:v>
      </x:c>
      <x:c r="F247" s="11" t="n">
        <x:v>6</x:v>
      </x:c>
      <x:c r="G247" s="12" t="n">
        <x:v>1</x:v>
      </x:c>
      <x:c r="H247" s="11" t="n">
        <x:f>F247*G247</x:f>
        <x:v>6</x:v>
      </x:c>
      <x:c r="I247" s="8" t="str">
        <x:v>Кандидаты</x:v>
      </x:c>
      <x:c r="J247" s="10" t="n">
        <x:v>1</x:v>
      </x:c>
      <x:c r="K247" s="10" t="n">
        <x:v>0</x:v>
      </x:c>
      <x:c r="L247" s="10" t="n">
        <x:v>1</x:v>
      </x:c>
      <x:c r="M247" s="8" t="str">
        <x:v>Основная строка</x:v>
      </x:c>
      <x:c r="N247" s="8" t="str">
        <x:v>8 - Видео - ЛСР.pdf</x:v>
      </x:c>
      <x:c r="O247" s="8" t="str">
        <x:v>шт</x:v>
      </x:c>
      <x:c r="P247" s="8" t="str">
        <x:v>Раздел 2. Материалы и оборудование</x:v>
      </x:c>
    </x:row>
    <x:row r="248" ht="39" customHeight="1">
      <x:c r="A248" s="13" t="str">
        <x:v>N029</x:v>
      </x:c>
      <x:c r="B248" s="13" t="str">
        <x:v>Кабели и трубы</x:v>
      </x:c>
      <x:c r="C248" s="13" t="str">
        <x:v>54</x:v>
      </x:c>
      <x:c r="D248" s="13" t="str">
        <x:v>Труба EKF PROxima гладкая, жесткая, ПНД, черная, ⌀40 мм, 100м, SQ tpndg-40</x:v>
      </x:c>
      <x:c r="E248" s="13" t="str">
        <x:v>м</x:v>
      </x:c>
      <x:c r="F248" s="15" t="n">
        <x:v>496</x:v>
      </x:c>
      <x:c r="G248" s="16" t="n">
        <x:v>1</x:v>
      </x:c>
      <x:c r="H248" s="15" t="n">
        <x:f>F248*G248</x:f>
        <x:v>496</x:v>
      </x:c>
      <x:c r="I248" s="13" t="str">
        <x:v>Кандидаты</x:v>
      </x:c>
      <x:c r="J248" s="14" t="n">
        <x:v>1</x:v>
      </x:c>
      <x:c r="K248" s="14" t="n">
        <x:v>0</x:v>
      </x:c>
      <x:c r="L248" s="14" t="n">
        <x:v>1</x:v>
      </x:c>
      <x:c r="M248" s="13" t="str">
        <x:v>Основная строка</x:v>
      </x:c>
      <x:c r="N248" s="13" t="str">
        <x:v>8 - Видео - ЛСР.pdf</x:v>
      </x:c>
      <x:c r="O248" s="13" t="str">
        <x:v>м</x:v>
      </x:c>
      <x:c r="P248" s="13" t="str">
        <x:v>Раздел 2. Материалы и оборудование</x:v>
      </x:c>
    </x:row>
    <x:row r="249" ht="39" customHeight="1">
      <x:c r="A249" s="8" t="str">
        <x:v>N028</x:v>
      </x:c>
      <x:c r="B249" s="8" t="str">
        <x:v>Кабели и трубы</x:v>
      </x:c>
      <x:c r="C249" s="8" t="str">
        <x:v>55</x:v>
      </x:c>
      <x:c r="D249" s="8" t="str">
        <x:v>Оптический кабель ОГЦ-4А-7</x:v>
      </x:c>
      <x:c r="E249" s="8" t="str">
        <x:v>м</x:v>
      </x:c>
      <x:c r="F249" s="11" t="n">
        <x:v>575.28</x:v>
      </x:c>
      <x:c r="G249" s="12" t="n">
        <x:v>1</x:v>
      </x:c>
      <x:c r="H249" s="11" t="n">
        <x:f>F249*G249</x:f>
        <x:v>575.28</x:v>
      </x:c>
      <x:c r="I249" s="8" t="str">
        <x:v>Кандидаты</x:v>
      </x:c>
      <x:c r="J249" s="10" t="n">
        <x:v>1</x:v>
      </x:c>
      <x:c r="K249" s="10" t="n">
        <x:v>0</x:v>
      </x:c>
      <x:c r="L249" s="10" t="n">
        <x:v>1</x:v>
      </x:c>
      <x:c r="M249" s="8" t="str">
        <x:v>Основная строка</x:v>
      </x:c>
      <x:c r="N249" s="8" t="str">
        <x:v>8 - Видео - ЛСР.pdf</x:v>
      </x:c>
      <x:c r="O249" s="8" t="str">
        <x:v>м</x:v>
      </x:c>
      <x:c r="P249" s="8" t="str">
        <x:v>Раздел 2. Материалы и оборудование</x:v>
      </x:c>
    </x:row>
    <x:row r="250" ht="39" customHeight="1">
      <x:c r="A250" s="13" t="str">
        <x:v>N049</x:v>
      </x:c>
      <x:c r="B250" s="13" t="str">
        <x:v>Щиты и электротехнические изделия</x:v>
      </x:c>
      <x:c r="C250" s="13" t="str">
        <x:v>56</x:v>
      </x:c>
      <x:c r="D250" s="13" t="str">
        <x:v>Щит с монтажной панелью, размеры 800х600х250 мм, степень защиты IP66 -- Корпус металлический ЩМП-4-0 74 У2 IP54</x:v>
      </x:c>
      <x:c r="E250" s="13" t="str">
        <x:v>шт</x:v>
      </x:c>
      <x:c r="F250" s="15" t="n">
        <x:v>3</x:v>
      </x:c>
      <x:c r="G250" s="16" t="n">
        <x:v>1</x:v>
      </x:c>
      <x:c r="H250" s="15" t="n">
        <x:f>F250*G250</x:f>
        <x:v>3</x:v>
      </x:c>
      <x:c r="I250" s="13" t="str">
        <x:v>Кандидаты</x:v>
      </x:c>
      <x:c r="J250" s="14" t="n">
        <x:v>1</x:v>
      </x:c>
      <x:c r="K250" s="14" t="n">
        <x:v>0</x:v>
      </x:c>
      <x:c r="L250" s="14" t="n">
        <x:v>1</x:v>
      </x:c>
      <x:c r="M250" s="13" t="str">
        <x:v>Основная строка</x:v>
      </x:c>
      <x:c r="N250" s="13" t="str">
        <x:v>8 - Видео - ЛСР.pdf</x:v>
      </x:c>
      <x:c r="O250" s="13" t="str">
        <x:v>шт</x:v>
      </x:c>
      <x:c r="P250" s="13" t="str">
        <x:v>Раздел 2. Материалы и оборудование</x:v>
      </x:c>
    </x:row>
    <x:row r="251" ht="54" customHeight="1">
      <x:c r="A251" s="8" t="str">
        <x:v>N046</x:v>
      </x:c>
      <x:c r="B251" s="8" t="str">
        <x:v>Щиты и электротехнические изделия</x:v>
      </x:c>
      <x:c r="C251" s="8" t="str">
        <x:v>57</x:v>
      </x:c>
      <x:c r="D251" s="8" t="str">
        <x:v>Щит распределительный наружной установки ЩРН-12, IP54, размеры 265х310х120 мм - Корпус металлический ЩРн-12з-0 У2 IP54 (MKM11-N-12-54-Z)</x:v>
      </x:c>
      <x:c r="E251" s="8" t="str">
        <x:v>шт</x:v>
      </x:c>
      <x:c r="F251" s="11" t="n">
        <x:v>3</x:v>
      </x:c>
      <x:c r="G251" s="12" t="n">
        <x:v>1</x:v>
      </x:c>
      <x:c r="H251" s="11" t="n">
        <x:f>F251*G251</x:f>
        <x:v>3</x:v>
      </x:c>
      <x:c r="I251" s="8" t="str">
        <x:v>Кандидаты</x:v>
      </x:c>
      <x:c r="J251" s="10" t="n">
        <x:v>1</x:v>
      </x:c>
      <x:c r="K251" s="10" t="n">
        <x:v>0</x:v>
      </x:c>
      <x:c r="L251" s="10" t="n">
        <x:v>1</x:v>
      </x:c>
      <x:c r="M251" s="8" t="str">
        <x:v>Основная строка</x:v>
      </x:c>
      <x:c r="N251" s="8" t="str">
        <x:v>8 - Видео - ЛСР.pdf</x:v>
      </x:c>
      <x:c r="O251" s="8" t="str">
        <x:v>шт</x:v>
      </x:c>
      <x:c r="P251" s="8" t="str">
        <x:v>Раздел 2. Материалы и оборудование</x:v>
      </x:c>
    </x:row>
    <x:row r="252" ht="39" customHeight="1">
      <x:c r="A252" s="13" t="str">
        <x:v>N050</x:v>
      </x:c>
      <x:c r="B252" s="13" t="str">
        <x:v>Щиты и электротехнические изделия</x:v>
      </x:c>
      <x:c r="C252" s="13" t="str">
        <x:v>58</x:v>
      </x:c>
      <x:c r="D252" s="13" t="str">
        <x:v>Автоматический выключатель MVA40-3-025-C</x:v>
      </x:c>
      <x:c r="E252" s="13" t="str">
        <x:v>шт</x:v>
      </x:c>
      <x:c r="F252" s="15" t="n">
        <x:v>3</x:v>
      </x:c>
      <x:c r="G252" s="16" t="n">
        <x:v>1</x:v>
      </x:c>
      <x:c r="H252" s="15" t="n">
        <x:f>F252*G252</x:f>
        <x:v>3</x:v>
      </x:c>
      <x:c r="I252" s="13" t="str">
        <x:v>Цена есть</x:v>
      </x:c>
      <x:c r="J252" s="14" t="n">
        <x:v>0</x:v>
      </x:c>
      <x:c r="K252" s="14" t="n">
        <x:v>1</x:v>
      </x:c>
      <x:c r="L252" s="14" t="n">
        <x:v>1</x:v>
      </x:c>
      <x:c r="M252" s="13" t="str">
        <x:v>Основная строка</x:v>
      </x:c>
      <x:c r="N252" s="13" t="str">
        <x:v>8 - Видео - ЛСР.pdf</x:v>
      </x:c>
      <x:c r="O252" s="13" t="str">
        <x:v>шт</x:v>
      </x:c>
      <x:c r="P252" s="13" t="str">
        <x:v>Раздел 2. Материалы и оборудование</x:v>
      </x:c>
    </x:row>
    <x:row r="253" ht="39" customHeight="1">
      <x:c r="A253" s="8" t="str">
        <x:v>N036</x:v>
      </x:c>
      <x:c r="B253" s="8" t="str">
        <x:v>Щиты и электротехнические изделия</x:v>
      </x:c>
      <x:c r="C253" s="8" t="str">
        <x:v>59</x:v>
      </x:c>
      <x:c r="D253" s="8" t="str">
        <x:v>Блок распределительный РБД-125А</x:v>
      </x:c>
      <x:c r="E253" s="8" t="str">
        <x:v>шт</x:v>
      </x:c>
      <x:c r="F253" s="11" t="n">
        <x:v>15</x:v>
      </x:c>
      <x:c r="G253" s="12" t="n">
        <x:v>1</x:v>
      </x:c>
      <x:c r="H253" s="11" t="n">
        <x:f>F253*G253</x:f>
        <x:v>15</x:v>
      </x:c>
      <x:c r="I253" s="8" t="str">
        <x:v>Кандидаты</x:v>
      </x:c>
      <x:c r="J253" s="10" t="n">
        <x:v>1</x:v>
      </x:c>
      <x:c r="K253" s="10" t="n">
        <x:v>0</x:v>
      </x:c>
      <x:c r="L253" s="10" t="n">
        <x:v>1</x:v>
      </x:c>
      <x:c r="M253" s="8" t="str">
        <x:v>Основная строка</x:v>
      </x:c>
      <x:c r="N253" s="8" t="str">
        <x:v>8 - Видео - ЛСР.pdf</x:v>
      </x:c>
      <x:c r="O253" s="8" t="str">
        <x:v>шт</x:v>
      </x:c>
      <x:c r="P253" s="8" t="str">
        <x:v>Раздел 2. Материалы и оборудование</x:v>
      </x:c>
    </x:row>
    <x:row r="254" ht="39" customHeight="1">
      <x:c r="A254" s="13" t="str">
        <x:v>N070</x:v>
      </x:c>
      <x:c r="B254" s="13" t="str">
        <x:v>Видеонаблюдение и сетевое оборудование</x:v>
      </x:c>
      <x:c r="C254" s="13" t="str">
        <x:v>60</x:v>
      </x:c>
      <x:c r="D254" s="13" t="str">
        <x:v>КВМ консоль ATEN 17" 8-Port PS/2-USB VGA Single Rail LCD KVM Switch</x:v>
      </x:c>
      <x:c r="E254" s="13" t="str">
        <x:v>шт</x:v>
      </x:c>
      <x:c r="F254" s="15" t="n">
        <x:v>1</x:v>
      </x:c>
      <x:c r="G254" s="16" t="n">
        <x:v>1</x:v>
      </x:c>
      <x:c r="H254" s="15" t="n">
        <x:f>F254*G254</x:f>
        <x:v>1</x:v>
      </x:c>
      <x:c r="I254" s="13" t="str">
        <x:v>Кандидаты</x:v>
      </x:c>
      <x:c r="J254" s="14" t="n">
        <x:v>1</x:v>
      </x:c>
      <x:c r="K254" s="14" t="n">
        <x:v>0</x:v>
      </x:c>
      <x:c r="L254" s="14" t="n">
        <x:v>1</x:v>
      </x:c>
      <x:c r="M254" s="13" t="str">
        <x:v>Основная строка</x:v>
      </x:c>
      <x:c r="N254" s="13" t="str">
        <x:v>8 - Видео - ЛСР.pdf</x:v>
      </x:c>
      <x:c r="O254" s="13" t="str">
        <x:v>шт</x:v>
      </x:c>
      <x:c r="P254" s="13" t="str">
        <x:v>Раздел 2. Материалы и оборудование</x:v>
      </x:c>
    </x:row>
    <x:row r="255" ht="39" customHeight="1">
      <x:c r="A255" s="8" t="str">
        <x:v>N149</x:v>
      </x:c>
      <x:c r="B255" s="8" t="str">
        <x:v>Измерения и испытания</x:v>
      </x:c>
      <x:c r="C255" s="8" t="str">
        <x:v>1</x:v>
      </x:c>
      <x:c r="D255" s="8" t="str">
        <x:v>Испытание кабеля силового длиной до 500 м напряжением до 1 кВ</x:v>
      </x:c>
      <x:c r="E255" s="8" t="str">
        <x:v>испытание</x:v>
      </x:c>
      <x:c r="F255" s="11" t="n">
        <x:v>36</x:v>
      </x:c>
      <x:c r="G255" s="12" t="n">
        <x:v>1</x:v>
      </x:c>
      <x:c r="H255" s="11" t="n">
        <x:f>F255*G255</x:f>
        <x:v>36</x:v>
      </x:c>
      <x:c r="I255" s="8" t="str">
        <x:v>Кандидаты</x:v>
      </x:c>
      <x:c r="J255" s="10" t="n">
        <x:v>1</x:v>
      </x:c>
      <x:c r="K255" s="10" t="n">
        <x:v>0</x:v>
      </x:c>
      <x:c r="L255" s="10" t="n">
        <x:v>1</x:v>
      </x:c>
      <x:c r="M255" s="8" t="str">
        <x:v>Основная строка</x:v>
      </x:c>
      <x:c r="N255" s="8" t="str">
        <x:v>9 - ПНР освещ (основное) - ЛСР.pdf</x:v>
      </x:c>
      <x:c r="O255" s="8" t="str">
        <x:v>испытание</x:v>
      </x:c>
      <x:c r="P255" s="8" t="str">
        <x:v>Раздел 1.</x:v>
      </x:c>
    </x:row>
    <x:row r="256" ht="39" customHeight="1">
      <x:c r="A256" s="13" t="str"/>
      <x:c r="B256" s="13" t="str">
        <x:v>Расчётные и корректирующие строки</x:v>
      </x:c>
      <x:c r="C256" s="13" t="str">
        <x:v>2</x:v>
      </x:c>
      <x:c r="D256" s="13" t="str">
        <x:v>За каждые последующие 500 м испытания силового кабеля напряжением до 1 кВ добавлять к норме 01-12-027-07</x:v>
      </x:c>
      <x:c r="E256" s="13" t="str">
        <x:v>500 м</x:v>
      </x:c>
      <x:c r="F256" s="15" t="n">
        <x:v>69.912</x:v>
      </x:c>
      <x:c r="G256" s="16" t="n">
        <x:v>500</x:v>
      </x:c>
      <x:c r="H256" s="15" t="n">
        <x:f>F256*G256</x:f>
        <x:v>34956</x:v>
      </x:c>
      <x:c r="I256" s="13" t="str">
        <x:v>Не искать отдельно</x:v>
      </x:c>
      <x:c r="J256" s="14" t="n">
        <x:v>0</x:v>
      </x:c>
      <x:c r="K256" s="14" t="n">
        <x:v>0</x:v>
      </x:c>
      <x:c r="L256" s="14" t="n">
        <x:v>0</x:v>
      </x:c>
      <x:c r="M256" s="13" t="str">
        <x:v>Основная строка</x:v>
      </x:c>
      <x:c r="N256" s="13" t="str">
        <x:v>9 - ПНР освещ (основное) - ЛСР.pdf</x:v>
      </x:c>
      <x:c r="O256" s="13" t="str">
        <x:v>м</x:v>
      </x:c>
      <x:c r="P256" s="13" t="str">
        <x:v>Раздел 1.</x:v>
      </x:c>
    </x:row>
    <x:row r="257" ht="84" customHeight="1">
      <x:c r="A257" s="8" t="str">
        <x:v>N147</x:v>
      </x:c>
      <x:c r="B257" s="8" t="str">
        <x:v>Измерения и испытания</x:v>
      </x:c>
      <x:c r="C257" s="8" t="str">
        <x:v>3</x:v>
      </x:c>
      <x:c r="D257" s="8" t="str">
        <x:v>Измерение сопротивления изоляции (на линию) мегаомметром кабельных и других линий напряжением до 1 кВ, предназначенных для передачи электроэнергии к распределительным устройствам, щитам, шкафам, коммутационным аппаратам и электропотребителям</x:v>
      </x:c>
      <x:c r="E257" s="8" t="str">
        <x:v>шт</x:v>
      </x:c>
      <x:c r="F257" s="11" t="n">
        <x:v>9</x:v>
      </x:c>
      <x:c r="G257" s="12" t="n">
        <x:v>1</x:v>
      </x:c>
      <x:c r="H257" s="11" t="n">
        <x:f>F257*G257</x:f>
        <x:v>9</x:v>
      </x:c>
      <x:c r="I257" s="8" t="str">
        <x:v>Цена не найдена</x:v>
      </x:c>
      <x:c r="J257" s="10" t="n">
        <x:v>1</x:v>
      </x:c>
      <x:c r="K257" s="10" t="n">
        <x:v>0</x:v>
      </x:c>
      <x:c r="L257" s="10" t="n">
        <x:v>1</x:v>
      </x:c>
      <x:c r="M257" s="8" t="str">
        <x:v>Основная строка</x:v>
      </x:c>
      <x:c r="N257" s="8" t="str">
        <x:v>9 - ПНР освещ (основное) - ЛСР.pdf</x:v>
      </x:c>
      <x:c r="O257" s="8" t="str">
        <x:v>шт</x:v>
      </x:c>
      <x:c r="P257" s="8" t="str">
        <x:v>Раздел 1.</x:v>
      </x:c>
    </x:row>
    <x:row r="258" ht="36" customHeight="1">
      <x:c r="A258" s="13" t="str">
        <x:v>N148</x:v>
      </x:c>
      <x:c r="B258" s="13" t="str">
        <x:v>Измерения и испытания</x:v>
      </x:c>
      <x:c r="C258" s="13" t="str">
        <x:v>4</x:v>
      </x:c>
      <x:c r="D258" s="13" t="str">
        <x:v>Измерение сопротивления растеканию тока: заземлителя</x:v>
      </x:c>
      <x:c r="E258" s="13" t="str">
        <x:v>измерение</x:v>
      </x:c>
      <x:c r="F258" s="15" t="n">
        <x:v>43</x:v>
      </x:c>
      <x:c r="G258" s="16" t="n">
        <x:v>1</x:v>
      </x:c>
      <x:c r="H258" s="15" t="n">
        <x:f>F258*G258</x:f>
        <x:v>43</x:v>
      </x:c>
      <x:c r="I258" s="13" t="str">
        <x:v>Кандидаты</x:v>
      </x:c>
      <x:c r="J258" s="14" t="n">
        <x:v>1</x:v>
      </x:c>
      <x:c r="K258" s="14" t="n">
        <x:v>0</x:v>
      </x:c>
      <x:c r="L258" s="14" t="n">
        <x:v>1</x:v>
      </x:c>
      <x:c r="M258" s="13" t="str">
        <x:v>Основная строка</x:v>
      </x:c>
      <x:c r="N258" s="13" t="str">
        <x:v>9 - ПНР освещ (основное) - ЛСР.pdf</x:v>
      </x:c>
      <x:c r="O258" s="13" t="str">
        <x:v>измерение</x:v>
      </x:c>
      <x:c r="P258" s="13" t="str">
        <x:v>Раздел 1.</x:v>
      </x:c>
    </x:row>
    <x:row r="259" ht="36" customHeight="1">
      <x:c r="A259" s="8" t="str">
        <x:v>N150</x:v>
      </x:c>
      <x:c r="B259" s="8" t="str">
        <x:v>Измерения и испытания</x:v>
      </x:c>
      <x:c r="C259" s="8" t="str">
        <x:v>5</x:v>
      </x:c>
      <x:c r="D259" s="8" t="str">
        <x:v>Определение удельного сопротивления грунта</x:v>
      </x:c>
      <x:c r="E259" s="8" t="str">
        <x:v>измерение</x:v>
      </x:c>
      <x:c r="F259" s="11" t="n">
        <x:v>9</x:v>
      </x:c>
      <x:c r="G259" s="12" t="n">
        <x:v>1</x:v>
      </x:c>
      <x:c r="H259" s="11" t="n">
        <x:f>F259*G259</x:f>
        <x:v>9</x:v>
      </x:c>
      <x:c r="I259" s="8" t="str">
        <x:v>Кандидаты</x:v>
      </x:c>
      <x:c r="J259" s="10" t="n">
        <x:v>1</x:v>
      </x:c>
      <x:c r="K259" s="10" t="n">
        <x:v>0</x:v>
      </x:c>
      <x:c r="L259" s="10" t="n">
        <x:v>1</x:v>
      </x:c>
      <x:c r="M259" s="8" t="str">
        <x:v>Основная строка</x:v>
      </x:c>
      <x:c r="N259" s="8" t="str">
        <x:v>9 - ПНР освещ (основное) - ЛСР.pdf</x:v>
      </x:c>
      <x:c r="O259" s="8" t="str">
        <x:v>измерение</x:v>
      </x:c>
      <x:c r="P259" s="8" t="str">
        <x:v>Раздел 1.</x:v>
      </x:c>
    </x:row>
    <x:row r="260" ht="39" customHeight="1">
      <x:c r="A260" s="13" t="str">
        <x:v>N149</x:v>
      </x:c>
      <x:c r="B260" s="13" t="str">
        <x:v>Измерения и испытания</x:v>
      </x:c>
      <x:c r="C260" s="13" t="str">
        <x:v>1</x:v>
      </x:c>
      <x:c r="D260" s="13" t="str">
        <x:v>Испытание кабеля силового длиной до 500 м напряжением до 1 кВ</x:v>
      </x:c>
      <x:c r="E260" s="13" t="str">
        <x:v>испытание</x:v>
      </x:c>
      <x:c r="F260" s="15" t="n">
        <x:v>15</x:v>
      </x:c>
      <x:c r="G260" s="16" t="n">
        <x:v>1</x:v>
      </x:c>
      <x:c r="H260" s="15" t="n">
        <x:f>F260*G260</x:f>
        <x:v>15</x:v>
      </x:c>
      <x:c r="I260" s="13" t="str">
        <x:v>Цена не найдена</x:v>
      </x:c>
      <x:c r="J260" s="14" t="n">
        <x:v>1</x:v>
      </x:c>
      <x:c r="K260" s="14" t="n">
        <x:v>0</x:v>
      </x:c>
      <x:c r="L260" s="14" t="n">
        <x:v>1</x:v>
      </x:c>
      <x:c r="M260" s="13" t="str">
        <x:v>Основная строка</x:v>
      </x:c>
      <x:c r="N260" s="13" t="str">
        <x:v>11- ПНР видео - ЛСР.pdf</x:v>
      </x:c>
      <x:c r="O260" s="13" t="str">
        <x:v>испытание</x:v>
      </x:c>
      <x:c r="P260" s="13" t="str">
        <x:v>Раздел 1.</x:v>
      </x:c>
    </x:row>
    <x:row r="261" ht="84" customHeight="1">
      <x:c r="A261" s="8" t="str">
        <x:v>N147</x:v>
      </x:c>
      <x:c r="B261" s="8" t="str">
        <x:v>Измерения и испытания</x:v>
      </x:c>
      <x:c r="C261" s="8" t="str">
        <x:v>2</x:v>
      </x:c>
      <x:c r="D261" s="8" t="str">
        <x:v>Измерение сопротивления изоляции (на линию) мегаомметром кабельных и других линий напряжением до 1 кВ, предназначенных для передачи электроэнергии к распределительным устройствам, щитам, шкафам, коммутационным аппаратам и электропотребителям</x:v>
      </x:c>
      <x:c r="E261" s="8" t="str">
        <x:v>шт</x:v>
      </x:c>
      <x:c r="F261" s="11" t="n">
        <x:v>3</x:v>
      </x:c>
      <x:c r="G261" s="12" t="n">
        <x:v>1</x:v>
      </x:c>
      <x:c r="H261" s="11" t="n">
        <x:f>F261*G261</x:f>
        <x:v>3</x:v>
      </x:c>
      <x:c r="I261" s="8" t="str">
        <x:v>Цена не найдена</x:v>
      </x:c>
      <x:c r="J261" s="10" t="n">
        <x:v>1</x:v>
      </x:c>
      <x:c r="K261" s="10" t="n">
        <x:v>0</x:v>
      </x:c>
      <x:c r="L261" s="10" t="n">
        <x:v>1</x:v>
      </x:c>
      <x:c r="M261" s="8" t="str">
        <x:v>Основная строка</x:v>
      </x:c>
      <x:c r="N261" s="8" t="str">
        <x:v>11- ПНР видео - ЛСР.pdf</x:v>
      </x:c>
      <x:c r="O261" s="8" t="str">
        <x:v>шт</x:v>
      </x:c>
      <x:c r="P261" s="8" t="str">
        <x:v>Раздел 1.</x:v>
      </x:c>
    </x:row>
    <x:row r="262" ht="36" customHeight="1">
      <x:c r="A262" s="13" t="str">
        <x:v>N148</x:v>
      </x:c>
      <x:c r="B262" s="13" t="str">
        <x:v>Измерения и испытания</x:v>
      </x:c>
      <x:c r="C262" s="13" t="str">
        <x:v>3</x:v>
      </x:c>
      <x:c r="D262" s="13" t="str">
        <x:v>Измерение сопротивления растеканию тока: заземлителя</x:v>
      </x:c>
      <x:c r="E262" s="13" t="str">
        <x:v>измерение</x:v>
      </x:c>
      <x:c r="F262" s="15" t="n">
        <x:v>3</x:v>
      </x:c>
      <x:c r="G262" s="16" t="n">
        <x:v>1</x:v>
      </x:c>
      <x:c r="H262" s="15" t="n">
        <x:f>F262*G262</x:f>
        <x:v>3</x:v>
      </x:c>
      <x:c r="I262" s="13" t="str">
        <x:v>Кандидаты</x:v>
      </x:c>
      <x:c r="J262" s="14" t="n">
        <x:v>1</x:v>
      </x:c>
      <x:c r="K262" s="14" t="n">
        <x:v>0</x:v>
      </x:c>
      <x:c r="L262" s="14" t="n">
        <x:v>1</x:v>
      </x:c>
      <x:c r="M262" s="13" t="str">
        <x:v>Основная строка</x:v>
      </x:c>
      <x:c r="N262" s="13" t="str">
        <x:v>11- ПНР видео - ЛСР.pdf</x:v>
      </x:c>
      <x:c r="O262" s="13" t="str">
        <x:v>измерение</x:v>
      </x:c>
      <x:c r="P262" s="13" t="str">
        <x:v>Раздел 1.</x:v>
      </x:c>
    </x:row>
    <x:row r="263" ht="36" customHeight="1">
      <x:c r="A263" s="8" t="str">
        <x:v>N150</x:v>
      </x:c>
      <x:c r="B263" s="8" t="str">
        <x:v>Измерения и испытания</x:v>
      </x:c>
      <x:c r="C263" s="8" t="str">
        <x:v>4</x:v>
      </x:c>
      <x:c r="D263" s="8" t="str">
        <x:v>Определение удельного сопротивления грунта</x:v>
      </x:c>
      <x:c r="E263" s="8" t="str">
        <x:v>измерение</x:v>
      </x:c>
      <x:c r="F263" s="11" t="n">
        <x:v>3</x:v>
      </x:c>
      <x:c r="G263" s="12" t="n">
        <x:v>1</x:v>
      </x:c>
      <x:c r="H263" s="11" t="n">
        <x:f>F263*G263</x:f>
        <x:v>3</x:v>
      </x:c>
      <x:c r="I263" s="8" t="str">
        <x:v>Цена не найдена</x:v>
      </x:c>
      <x:c r="J263" s="10" t="n">
        <x:v>1</x:v>
      </x:c>
      <x:c r="K263" s="10" t="n">
        <x:v>0</x:v>
      </x:c>
      <x:c r="L263" s="10" t="n">
        <x:v>1</x:v>
      </x:c>
      <x:c r="M263" s="8" t="str">
        <x:v>Основная строка</x:v>
      </x:c>
      <x:c r="N263" s="8" t="str">
        <x:v>11- ПНР видео - ЛСР.pdf</x:v>
      </x:c>
      <x:c r="O263" s="8" t="str">
        <x:v>измерение</x:v>
      </x:c>
      <x:c r="P263" s="8" t="str">
        <x:v>Раздел 1.</x:v>
      </x:c>
    </x:row>
    <x:row r="264" ht="39" customHeight="1">
      <x:c r="A264" s="13" t="str">
        <x:v>N151</x:v>
      </x:c>
      <x:c r="B264" s="13" t="str">
        <x:v>Измерения и испытания</x:v>
      </x:c>
      <x:c r="C264" s="13" t="str">
        <x:v>5</x:v>
      </x:c>
      <x:c r="D264" s="13" t="str">
        <x:v>Измерение на кабельной площадке затухания зонового волоконно- оптического кабеля с числом волокон: 4</x:v>
      </x:c>
      <x:c r="E264" s="13" t="str">
        <x:v>участок</x:v>
      </x:c>
      <x:c r="F264" s="15" t="n">
        <x:v>12</x:v>
      </x:c>
      <x:c r="G264" s="16" t="n">
        <x:v>1</x:v>
      </x:c>
      <x:c r="H264" s="15" t="n">
        <x:f>F264*G264</x:f>
        <x:v>12</x:v>
      </x:c>
      <x:c r="I264" s="13" t="str">
        <x:v>Цена не найдена</x:v>
      </x:c>
      <x:c r="J264" s="14" t="n">
        <x:v>1</x:v>
      </x:c>
      <x:c r="K264" s="14" t="n">
        <x:v>0</x:v>
      </x:c>
      <x:c r="L264" s="14" t="n">
        <x:v>1</x:v>
      </x:c>
      <x:c r="M264" s="13" t="str">
        <x:v>Работа с вложенными ресурсами</x:v>
      </x:c>
      <x:c r="N264" s="13" t="str">
        <x:v>11- ПНР видео - ЛСР.pdf</x:v>
      </x:c>
      <x:c r="O264" s="13" t="str">
        <x:v>участок</x:v>
      </x:c>
      <x:c r="P264" s="13" t="str">
        <x:v>Раздел 1.</x:v>
      </x:c>
    </x:row>
    <x:row r="265" ht="39" customHeight="1">
      <x:c r="A265" s="8" t="str"/>
      <x:c r="B265" s="8" t="str">
        <x:v>Расчётные и корректирующие строки</x:v>
      </x:c>
      <x:c r="C265" s="8" t="str">
        <x:v>5.1</x:v>
      </x:c>
      <x:c r="D265" s="8" t="str">
        <x:v>Вспомогательные ненормируемые материальные ресурсы</x:v>
      </x:c>
      <x:c r="E265" s="8" t="str">
        <x:v>%</x:v>
      </x:c>
      <x:c r="F265" s="11" t="n">
        <x:v>2</x:v>
      </x:c>
      <x:c r="G265" s="12" t="n">
        <x:v>1</x:v>
      </x:c>
      <x:c r="H265" s="11" t="n">
        <x:f>F265*G265</x:f>
        <x:v>2</x:v>
      </x:c>
      <x:c r="I265" s="8" t="str">
        <x:v>Не искать отдельно</x:v>
      </x:c>
      <x:c r="J265" s="10" t="n">
        <x:v>0</x:v>
      </x:c>
      <x:c r="K265" s="10" t="n">
        <x:v>0</x:v>
      </x:c>
      <x:c r="L265" s="10" t="n">
        <x:v>0</x:v>
      </x:c>
      <x:c r="M265" s="8" t="str">
        <x:v>Ресурс родительской работы</x:v>
      </x:c>
      <x:c r="N265" s="8" t="str">
        <x:v>11- ПНР видео - ЛСР.pdf</x:v>
      </x:c>
      <x:c r="O265" s="8" t="str">
        <x:v>%</x:v>
      </x:c>
      <x:c r="P265" s="8" t="str">
        <x:v>Раздел 1.</x:v>
      </x:c>
    </x:row>
    <x:row r="266" ht="54" customHeight="1">
      <x:c r="A266" s="13" t="str">
        <x:v>N152</x:v>
      </x:c>
      <x:c r="B266" s="13" t="str">
        <x:v>Измерения и испытания</x:v>
      </x:c>
      <x:c r="C266" s="13" t="str">
        <x:v>6</x:v>
      </x:c>
      <x:c r="D266" s="13" t="str">
        <x:v>Измерение на смонтированном участке волоконно-оптического кабеля в одном направлении на двух длинах волн с числом волокон: 4</x:v>
      </x:c>
      <x:c r="E266" s="13" t="str">
        <x:v>участок</x:v>
      </x:c>
      <x:c r="F266" s="15" t="n">
        <x:v>12</x:v>
      </x:c>
      <x:c r="G266" s="16" t="n">
        <x:v>1</x:v>
      </x:c>
      <x:c r="H266" s="15" t="n">
        <x:f>F266*G266</x:f>
        <x:v>12</x:v>
      </x:c>
      <x:c r="I266" s="13" t="str">
        <x:v>Цена не найдена</x:v>
      </x:c>
      <x:c r="J266" s="14" t="n">
        <x:v>1</x:v>
      </x:c>
      <x:c r="K266" s="14" t="n">
        <x:v>0</x:v>
      </x:c>
      <x:c r="L266" s="14" t="n">
        <x:v>1</x:v>
      </x:c>
      <x:c r="M266" s="13" t="str">
        <x:v>Работа с вложенными ресурсами</x:v>
      </x:c>
      <x:c r="N266" s="13" t="str">
        <x:v>11- ПНР видео - ЛСР.pdf</x:v>
      </x:c>
      <x:c r="O266" s="13" t="str">
        <x:v>участок</x:v>
      </x:c>
      <x:c r="P266" s="13" t="str">
        <x:v>Раздел 1.</x:v>
      </x:c>
    </x:row>
    <x:row r="267" ht="39" customHeight="1">
      <x:c r="A267" s="8" t="str"/>
      <x:c r="B267" s="8" t="str">
        <x:v>Расчётные и корректирующие строки</x:v>
      </x:c>
      <x:c r="C267" s="8" t="str">
        <x:v>6.1</x:v>
      </x:c>
      <x:c r="D267" s="8" t="str">
        <x:v>Вспомогательные ненормируемые материальные ресурсы</x:v>
      </x:c>
      <x:c r="E267" s="8" t="str">
        <x:v>%</x:v>
      </x:c>
      <x:c r="F267" s="11" t="n">
        <x:v>2</x:v>
      </x:c>
      <x:c r="G267" s="12" t="n">
        <x:v>1</x:v>
      </x:c>
      <x:c r="H267" s="11" t="n">
        <x:f>F267*G267</x:f>
        <x:v>2</x:v>
      </x:c>
      <x:c r="I267" s="8" t="str">
        <x:v>Не искать отдельно</x:v>
      </x:c>
      <x:c r="J267" s="10" t="n">
        <x:v>0</x:v>
      </x:c>
      <x:c r="K267" s="10" t="n">
        <x:v>0</x:v>
      </x:c>
      <x:c r="L267" s="10" t="n">
        <x:v>0</x:v>
      </x:c>
      <x:c r="M267" s="8" t="str">
        <x:v>Ресурс родительской работы</x:v>
      </x:c>
      <x:c r="N267" s="8" t="str">
        <x:v>11- ПНР видео - ЛСР.pdf</x:v>
      </x:c>
      <x:c r="O267" s="8" t="str">
        <x:v>%</x:v>
      </x:c>
      <x:c r="P267" s="8" t="str">
        <x:v>Раздел 1.</x:v>
      </x:c>
    </x:row>
  </x:sheetData>
  <x:pageMargins left="0.7" right="0.7" top="0.75" bottom="0.75" header="0.3" footer="0.3"/>
  <x:tableParts count="1">
    <x:tablePart xmlns:r="http://schemas.openxmlformats.org/officeDocument/2006/relationships" r:id="R3f9edbdb3bf54399"/>
  </x:tableParts>
</x:worksheet>
</file>